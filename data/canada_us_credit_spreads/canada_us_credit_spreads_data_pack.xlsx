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c89aaae29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0f8b9bf61a84097"/>
    <x:sheet xmlns:r="http://schemas.openxmlformats.org/officeDocument/2006/relationships" name="Data Dictionary" sheetId="2" r:id="Ra667579d4a6348ca"/>
    <x:sheet xmlns:r="http://schemas.openxmlformats.org/officeDocument/2006/relationships" name="Readme" sheetId="3" r:id="R11da00c2ac6d46f2"/>
    <x:sheet xmlns:r="http://schemas.openxmlformats.org/officeDocument/2006/relationships" name="Source Registry" sheetId="4" r:id="Rd8dc1f5d19b74a81"/>
    <x:sheet xmlns:r="http://schemas.openxmlformats.org/officeDocument/2006/relationships" name="CA Spread Seed" sheetId="5" r:id="Rd6ef4baff0474f22"/>
    <x:sheet xmlns:r="http://schemas.openxmlformats.org/officeDocument/2006/relationships" name="CA Lending Recent" sheetId="6" r:id="Rd25f9752875b418e"/>
    <x:sheet xmlns:r="http://schemas.openxmlformats.org/officeDocument/2006/relationships" name="CA Posted Recent" sheetId="7" r:id="R32642a2dc3d9436f"/>
    <x:sheet xmlns:r="http://schemas.openxmlformats.org/officeDocument/2006/relationships" name="CA Mortgage Hist" sheetId="8" r:id="R073047dcb3224784"/>
    <x:sheet xmlns:r="http://schemas.openxmlformats.org/officeDocument/2006/relationships" name="CA Biz 2002-2023" sheetId="9" r:id="R0c7d7f6b2db54882"/>
    <x:sheet xmlns:r="http://schemas.openxmlformats.org/officeDocument/2006/relationships" name="CA Biz 1983-2012" sheetId="10" r:id="R569e0cc42eeb46ce"/>
    <x:sheet xmlns:r="http://schemas.openxmlformats.org/officeDocument/2006/relationships" name="US SB Rates" sheetId="11" r:id="Rf4fccd4eee3947bd"/>
    <x:sheet xmlns:r="http://schemas.openxmlformats.org/officeDocument/2006/relationships" name="US Mortgage Recent" sheetId="12" r:id="R1864147c81f94941"/>
    <x:sheet xmlns:r="http://schemas.openxmlformats.org/officeDocument/2006/relationships" name="GDP Housing" sheetId="13" r:id="R9c9c2fef56bf4ebf"/>
    <x:sheet xmlns:r="http://schemas.openxmlformats.org/officeDocument/2006/relationships" name="US Housing Share" sheetId="14" r:id="R9e8085af0afa4034"/>
    <x:sheet xmlns:r="http://schemas.openxmlformats.org/officeDocument/2006/relationships" name="CA Housing Econ" sheetId="15" r:id="R2e29b6eb64cd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5">
    <x:font>
      <x:sz val="11"/>
      <x:name val="Carlito"/>
    </x:font>
    <x:font>
      <x:b/>
      <x:sz val="16"/>
      <x:color rgb="0F172A"/>
      <x:name val="Carlito"/>
    </x:font>
    <x:font>
      <x:sz val="11"/>
      <x:color rgb="475569"/>
      <x:name val="Carlito"/>
    </x:font>
    <x:font>
      <x:b/>
      <x:sz val="11"/>
      <x:color rgb="0F172A"/>
      <x:name val="Carlito"/>
    </x:font>
    <x:font>
      <x:b/>
      <x:sz val="15"/>
      <x:color rgb="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BEAFE"/>
      </x:patternFill>
    </x:fill>
    <x:fill>
      <x:patternFill patternType="solid">
        <x:fgColor rgb="F8FAFC"/>
      </x:patternFill>
    </x:fill>
  </x:fills>
  <x:borders count="4">
    <x:border/>
    <x:border/>
    <x:border>
      <x:bottom>
        <x:color rgb="CBD5E1"/>
      </x:bottom>
    </x:border>
    <x:border>
      <x:bottom>
        <x:color rgb="CBD5E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670ebc49a495d" /><Relationship Type="http://schemas.openxmlformats.org/officeDocument/2006/relationships/theme" Target="/xl/theme/theme1.xml" Id="Rc3214f3073a3486f" /><Relationship Type="http://schemas.openxmlformats.org/officeDocument/2006/relationships/sharedStrings" Target="/xl/sharedStrings.xml" Id="R1e30c42870dc4e11" /><Relationship Type="http://schemas.openxmlformats.org/officeDocument/2006/relationships/worksheet" Target="/xl/worksheets/sheet1.xml" Id="R40f8b9bf61a84097" /><Relationship Type="http://schemas.openxmlformats.org/officeDocument/2006/relationships/worksheet" Target="/xl/worksheets/sheet2.xml" Id="Ra667579d4a6348ca" /><Relationship Type="http://schemas.openxmlformats.org/officeDocument/2006/relationships/worksheet" Target="/xl/worksheets/sheet3.xml" Id="R11da00c2ac6d46f2" /><Relationship Type="http://schemas.openxmlformats.org/officeDocument/2006/relationships/worksheet" Target="/xl/worksheets/sheet4.xml" Id="Rd8dc1f5d19b74a81" /><Relationship Type="http://schemas.openxmlformats.org/officeDocument/2006/relationships/worksheet" Target="/xl/worksheets/sheet5.xml" Id="Rd6ef4baff0474f22" /><Relationship Type="http://schemas.openxmlformats.org/officeDocument/2006/relationships/worksheet" Target="/xl/worksheets/sheet6.xml" Id="Rd25f9752875b418e" /><Relationship Type="http://schemas.openxmlformats.org/officeDocument/2006/relationships/worksheet" Target="/xl/worksheets/sheet7.xml" Id="R32642a2dc3d9436f" /><Relationship Type="http://schemas.openxmlformats.org/officeDocument/2006/relationships/worksheet" Target="/xl/worksheets/sheet8.xml" Id="R073047dcb3224784" /><Relationship Type="http://schemas.openxmlformats.org/officeDocument/2006/relationships/worksheet" Target="/xl/worksheets/sheet9.xml" Id="R0c7d7f6b2db54882" /><Relationship Type="http://schemas.openxmlformats.org/officeDocument/2006/relationships/worksheet" Target="/xl/worksheets/sheet10.xml" Id="R569e0cc42eeb46ce" /><Relationship Type="http://schemas.openxmlformats.org/officeDocument/2006/relationships/worksheet" Target="/xl/worksheets/sheet11.xml" Id="Rf4fccd4eee3947bd" /><Relationship Type="http://schemas.openxmlformats.org/officeDocument/2006/relationships/worksheet" Target="/xl/worksheets/sheet12.xml" Id="R1864147c81f94941" /><Relationship Type="http://schemas.openxmlformats.org/officeDocument/2006/relationships/worksheet" Target="/xl/worksheets/sheet13.xml" Id="R9c9c2fef56bf4ebf" /><Relationship Type="http://schemas.openxmlformats.org/officeDocument/2006/relationships/worksheet" Target="/xl/worksheets/sheet14.xml" Id="R9e8085af0afa4034" /><Relationship Type="http://schemas.openxmlformats.org/officeDocument/2006/relationships/worksheet" Target="/xl/worksheets/sheet15.xml" Id="R2e29b6eb64cd41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0e316af94842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Canada Business Entry vs Exit Rates, 2002–2023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Entry rate %</c:v>
          </c:tx>
          <c:marker/>
          <c:cat>
            <c:strRef>
              <c:f>'Dashboard'!$P$5:$P$26</c:f>
              <c:strCache>
                <c:ptCount val="0"/>
              </c:strCache>
            </c:strRef>
          </c:cat>
          <c:val>
            <c:numRef>
              <c:f>'Dashboard'!$Q$5:$Q$26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Exit rate %</c:v>
          </c:tx>
          <c:marker/>
          <c:cat>
            <c:strRef>
              <c:f>'Dashboard'!$P$5:$P$26</c:f>
              <c:strCache>
                <c:ptCount val="0"/>
              </c:strCache>
            </c:strRef>
          </c:cat>
          <c:val>
            <c:numRef>
              <c:f>'Dashboard'!$R$5:$R$26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0e316af94842c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setSummaryTable" displayName="DatasetSummaryTable" ref="A4:D16" headerRowCount="1">
  <x:tableColumns count="4">
    <x:tableColumn id="1" name="Dataset component"/>
    <x:tableColumn id="2" name="Coverage"/>
    <x:tableColumn id="3" name="Rows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E10" headerRowCount="1">
  <x:tableColumns count="5">
    <x:tableColumn id="1" name="Field / Concept"/>
    <x:tableColumn id="2" name="Definition"/>
    <x:tableColumn id="3" name="Unit"/>
    <x:tableColumn id="4" name="Where used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admeTable" displayName="ReadmeTable" ref="A3:B8" headerRowCount="1">
  <x:tableColumns count="2">
    <x:tableColumn id="1" name="Step"/>
    <x:tableColumn id="2" name="Instruction"/>
  </x:tableColumns>
  <x:tableStyleInfo name="TableStyleMedium2" showRowStripes="1"/>
</x:table>
</file>

<file path=xl/tables/table4.xml><?xml version="1.0" encoding="utf-8"?>
<x:table xmlns:x="http://schemas.openxmlformats.org/spreadsheetml/2006/main" id="4" name="SourceRegistryTable" displayName="SourceRegistryTable" ref="A1:J12" headerRowCount="1">
  <x:tableColumns count="10">
    <x:tableColumn id="1" name="dataset_id"/>
    <x:tableColumn id="2" name="geography"/>
    <x:tableColumn id="3" name="theme"/>
    <x:tableColumn id="4" name="frequency"/>
    <x:tableColumn id="5" name="official_series_or_table"/>
    <x:tableColumn id="6" name="source"/>
    <x:tableColumn id="7" name="source_page_url"/>
    <x:tableColumn id="8" name="download_url"/>
    <x:tableColumn id="9" name="status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ASpreadSeedTable" displayName="CASpreadSeedTable" ref="A1:J6" headerRowCount="1">
  <x:tableColumns count="10">
    <x:tableColumn id="1" name="geography"/>
    <x:tableColumn id="2" name="period"/>
    <x:tableColumn id="3" name="mortgage_rate_label"/>
    <x:tableColumn id="4" name="mortgage_rate_pct"/>
    <x:tableColumn id="5" name="business_rate_label"/>
    <x:tableColumn id="6" name="business_rate_pct"/>
    <x:tableColumn id="7" name="spread_pct_points"/>
    <x:tableColumn id="8" name="spread_bps"/>
    <x:tableColumn id="9" name="status"/>
    <x:tableColumn id="10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CALendingRecentTable" displayName="CALendingRecentTable" ref="A1:G131" headerRowCount="1">
  <x:tableColumns count="7">
    <x:tableColumn id="1" name="period"/>
    <x:tableColumn id="2" name="series_id"/>
    <x:tableColumn id="3" name="category"/>
    <x:tableColumn id="4" name="measure"/>
    <x:tableColumn id="5" name="loan_product"/>
    <x:tableColumn id="6" name="rate_pct"/>
    <x:tableColumn id="7" name="source_url"/>
  </x:tableColumns>
  <x:tableStyleInfo name="TableStyleMedium2" showRowStripes="1"/>
</x:table>
</file>

<file path=xl/tables/table7.xml><?xml version="1.0" encoding="utf-8"?>
<x:table xmlns:x="http://schemas.openxmlformats.org/spreadsheetml/2006/main" id="7" name="CAPostedRecentTable" displayName="CAPostedRecentTable" ref="A1:F51" headerRowCount="1">
  <x:tableColumns count="6">
    <x:tableColumn id="1" name="date"/>
    <x:tableColumn id="2" name="series_id"/>
    <x:tableColumn id="3" name="product"/>
    <x:tableColumn id="4" name="short_name"/>
    <x:tableColumn id="5" name="rate_pct"/>
    <x:tableColumn id="6" name="source_url"/>
  </x:tableColumns>
  <x:tableStyleInfo name="TableStyleMedium2" showRowStripes="1"/>
</x:table>
</file>

<file path=xl/tables/table8.xml><?xml version="1.0" encoding="utf-8"?>
<x:table xmlns:x="http://schemas.openxmlformats.org/spreadsheetml/2006/main" id="8" name="CAMortgageHistTable" displayName="CAMortgageHistTable" ref="A1:F457" headerRowCount="1">
  <x:tableColumns count="6">
    <x:tableColumn id="1" name="period"/>
    <x:tableColumn id="2" name="year"/>
    <x:tableColumn id="3" name="month"/>
    <x:tableColumn id="4" name="mortgage_5y_posted_rate_pct"/>
    <x:tableColumn id="5" name="series_id"/>
    <x:tableColumn id="6" name="source_url"/>
  </x:tableColumns>
  <x:tableStyleInfo name="TableStyleMedium2" showRowStripes="1"/>
</x:table>
</file>

<file path=xl/tables/table9.xml><?xml version="1.0" encoding="utf-8"?>
<x:table xmlns:x="http://schemas.openxmlformats.org/spreadsheetml/2006/main" id="9" name="CABiz2002Table" displayName="CABiz2002Table" ref="A1:G23" headerRowCount="1">
  <x:tableColumns count="7">
    <x:tableColumn id="1" name="year"/>
    <x:tableColumn id="2" name="growth_rate_active_businesses_pct"/>
    <x:tableColumn id="3" name="entry_rate_pct"/>
    <x:tableColumn id="4" name="exit_rate_pct"/>
    <x:tableColumn id="5" name="net_entry_rate_pct"/>
    <x:tableColumn id="6" name="source_table"/>
    <x:tableColumn id="7" name="source_url"/>
  </x:tableColumns>
  <x:tableStyleInfo name="TableStyleMedium2" showRowStripes="1"/>
</x:table>
</file>

<file path=xl/tables/table10.xml><?xml version="1.0" encoding="utf-8"?>
<x:table xmlns:x="http://schemas.openxmlformats.org/spreadsheetml/2006/main" id="10" name="CABiz1983Table" displayName="CABiz1983Table" ref="A1:E30" headerRowCount="1">
  <x:tableColumns count="5">
    <x:tableColumn id="1" name="period"/>
    <x:tableColumn id="2" name="entry_rate_pct"/>
    <x:tableColumn id="3" name="exit_rate_pct"/>
    <x:tableColumn id="4" name="net_entry_rate_pct"/>
    <x:tableColumn id="5" name="source_url"/>
  </x:tableColumns>
  <x:tableStyleInfo name="TableStyleMedium2" showRowStripes="1"/>
</x:table>
</file>

<file path=xl/tables/table11.xml><?xml version="1.0" encoding="utf-8"?>
<x:table xmlns:x="http://schemas.openxmlformats.org/spreadsheetml/2006/main" id="11" name="USSmallBusinessRatesTable" displayName="USSmallBusinessRatesTable" ref="A1:E41" headerRowCount="1">
  <x:tableColumns count="5">
    <x:tableColumn id="1" name="quarter"/>
    <x:tableColumn id="2" name="loan_type"/>
    <x:tableColumn id="3" name="segment"/>
    <x:tableColumn id="4" name="median_rate_pct"/>
    <x:tableColumn id="5" name="source_url"/>
  </x:tableColumns>
  <x:tableStyleInfo name="TableStyleMedium2" showRowStripes="1"/>
</x:table>
</file>

<file path=xl/tables/table12.xml><?xml version="1.0" encoding="utf-8"?>
<x:table xmlns:x="http://schemas.openxmlformats.org/spreadsheetml/2006/main" id="12" name="USMortgageRecentTable" displayName="USMortgageRecentTable" ref="A1:D8" headerRowCount="1">
  <x:tableColumns count="4">
    <x:tableColumn id="1" name="date"/>
    <x:tableColumn id="2" name="mortgage_30y_rate_pct"/>
    <x:tableColumn id="3" name="source_series"/>
    <x:tableColumn id="4" name="source_url"/>
  </x:tableColumns>
  <x:tableStyleInfo name="TableStyleMedium2" showRowStripes="1"/>
</x:table>
</file>

<file path=xl/tables/table13.xml><?xml version="1.0" encoding="utf-8"?>
<x:table xmlns:x="http://schemas.openxmlformats.org/spreadsheetml/2006/main" id="13" name="CAGDPTable" displayName="CAGDPTable" ref="A1:D12" headerRowCount="1">
  <x:tableColumns count="4">
    <x:tableColumn id="1" name="year"/>
    <x:tableColumn id="2" name="real_gdp_per_capita_2017_cad"/>
    <x:tableColumn id="3" name="source_table"/>
    <x:tableColumn id="4" name="source_url"/>
  </x:tableColumns>
  <x:tableStyleInfo name="TableStyleMedium2" showRowStripes="1"/>
</x:table>
</file>

<file path=xl/tables/table14.xml><?xml version="1.0" encoding="utf-8"?>
<x:table xmlns:x="http://schemas.openxmlformats.org/spreadsheetml/2006/main" id="14" name="USHousingShareTable" displayName="USHousingShareTable" ref="A1:D12" headerRowCount="1">
  <x:tableColumns count="4">
    <x:tableColumn id="1" name="year"/>
    <x:tableColumn id="2" name="residential_fixed_investment_share_gdp_pct"/>
    <x:tableColumn id="3" name="source_series"/>
    <x:tableColumn id="4" name="source_url"/>
  </x:tableColumns>
  <x:tableStyleInfo name="TableStyleMedium2" showRowStripes="1"/>
</x:table>
</file>

<file path=xl/tables/table15.xml><?xml version="1.0" encoding="utf-8"?>
<x:table xmlns:x="http://schemas.openxmlformats.org/spreadsheetml/2006/main" id="15" name="CAHousingEconTable" displayName="CAHousingEconTable" ref="A1:E6" headerRowCount="1">
  <x:tableColumns count="5">
    <x:tableColumn id="1" name="year"/>
    <x:tableColumn id="2" name="metric"/>
    <x:tableColumn id="3" name="value"/>
    <x:tableColumn id="4" name="unit"/>
    <x:tableColumn id="5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8afff62c8f4af7" /><Relationship Type="http://schemas.openxmlformats.org/officeDocument/2006/relationships/table" Target="/xl/tables/table1.xml" Id="R8d21e3c7089e4c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149d2539284e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194d39a50e4b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2ce7395496a46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ad8f6b0175241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7ed3958b2684c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cd4403d7f5f48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9d827118ec64f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a023412161845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1739fe5c59d4f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0144296f15b4b0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6b0ab1c770fc477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8cc75cc4488458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291b1d81fb0444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227da6b3ec240c6" /></Relationships>
</file>

<file path=xl/worksheets/sheet1.xml><?xml version="1.0" encoding="utf-8"?>
<x:worksheet xmlns:x="http://schemas.openxmlformats.org/spreadsheetml/2006/main">
  <x:sheetFormatPr defaultRowHeight="15"/>
  <x:cols>
    <x:col min="16" max="16" width="13" hidden="0" customWidth="1"/>
    <x:col min="17" max="17" width="13" hidden="0" customWidth="1"/>
    <x:col min="18" max="18" width="13" hidden="0" customWidth="1"/>
    <x:col min="1" max="1" width="28" hidden="0" customWidth="1"/>
    <x:col min="2" max="2" width="22" hidden="0" customWidth="1"/>
    <x:col min="3" max="3" width="56" hidden="0" customWidth="1"/>
    <x:col min="4" max="4" width="2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" t="str">
        <x:v>Canada vs U.S. Residential/Business Credit Spread Dataset Pack</x:v>
      </x:c>
    </x:row>
    <x:row r="2" ht="38" customHeight="1">
      <x:c r="A2" s="7" t="str">
        <x:v>Purpose: support a whitepaper testing whether Canada’s credit architecture makes levered residential real estate a more attractive capital channel than productive business risk.</x:v>
      </x:c>
    </x:row>
    <x:row r="4">
      <x:c r="A4" s="15" t="str">
        <x:v>Dataset component</x:v>
      </x:c>
      <x:c r="B4" s="15" t="str">
        <x:v>Coverage</x:v>
      </x:c>
      <x:c r="C4" s="15" t="str">
        <x:v>Rows</x:v>
      </x:c>
      <x:c r="D4" s="15" t="str">
        <x:v>Status</x:v>
      </x:c>
      <x:c r="P4" s="15" t="str">
        <x:v>Year</x:v>
      </x:c>
      <x:c r="Q4" s="15" t="str">
        <x:v>Entry rate %</x:v>
      </x:c>
      <x:c r="R4" s="15" t="str">
        <x:v>Exit rate %</x:v>
      </x:c>
    </x:row>
    <x:row r="5">
      <x:c r="A5" t="str">
        <x:v>Source Registry</x:v>
      </x:c>
      <x:c r="B5" t="str">
        <x:v>ca_posted_rates_weekly to bdc_small_business_loan_proxy</x:v>
      </x:c>
      <x:c r="C5" t="n">
        <x:v>11</x:v>
      </x:c>
      <x:c r="D5" t="str">
        <x:v>Fetch registry</x:v>
      </x:c>
      <x:c r="P5" t="n">
        <x:v>2002</x:v>
      </x:c>
      <x:c r="Q5" t="n">
        <x:v>13.7</x:v>
      </x:c>
      <x:c r="R5" t="n">
        <x:v>12.7</x:v>
      </x:c>
    </x:row>
    <x:row r="6">
      <x:c r="A6" t="str">
        <x:v>CA Spread Seed</x:v>
      </x:c>
      <x:c r="B6" t="str">
        <x:v>Canada to United States</x:v>
      </x:c>
      <x:c r="C6" t="n">
        <x:v>5</x:v>
      </x:c>
      <x:c r="D6" t="str">
        <x:v>Seed table + source URL</x:v>
      </x:c>
      <x:c r="P6" t="n">
        <x:v>2003</x:v>
      </x:c>
      <x:c r="Q6" t="n">
        <x:v>13.7</x:v>
      </x:c>
      <x:c r="R6" t="n">
        <x:v>12.4</x:v>
      </x:c>
    </x:row>
    <x:row r="7">
      <x:c r="A7" t="str">
        <x:v>CA Lending Recent</x:v>
      </x:c>
      <x:c r="B7" t="str">
        <x:v>2025-10 to 2026-02</x:v>
      </x:c>
      <x:c r="C7" t="n">
        <x:v>130</x:v>
      </x:c>
      <x:c r="D7" t="str">
        <x:v>Seed table + source URL</x:v>
      </x:c>
      <x:c r="P7" t="n">
        <x:v>2004</x:v>
      </x:c>
      <x:c r="Q7" t="n">
        <x:v>15.1</x:v>
      </x:c>
      <x:c r="R7" t="n">
        <x:v>12.1</x:v>
      </x:c>
    </x:row>
    <x:row r="8">
      <x:c r="A8" t="str">
        <x:v>CA Posted Recent</x:v>
      </x:c>
      <x:c r="B8" t="str">
        <x:v>2026-03-25 to 2026-04-22</x:v>
      </x:c>
      <x:c r="C8" t="n">
        <x:v>50</x:v>
      </x:c>
      <x:c r="D8" t="str">
        <x:v>Seed table + source URL</x:v>
      </x:c>
      <x:c r="P8" t="n">
        <x:v>2005</x:v>
      </x:c>
      <x:c r="Q8" t="n">
        <x:v>14.9</x:v>
      </x:c>
      <x:c r="R8" t="n">
        <x:v>12.2</x:v>
      </x:c>
    </x:row>
    <x:row r="9">
      <x:c r="A9" t="str">
        <x:v>CA Mortgage Hist</x:v>
      </x:c>
      <x:c r="B9" t="str">
        <x:v>1973-01 to 2010-12</x:v>
      </x:c>
      <x:c r="C9" t="n">
        <x:v>456</x:v>
      </x:c>
      <x:c r="D9" t="str">
        <x:v>Historical seed table</x:v>
      </x:c>
      <x:c r="P9" t="n">
        <x:v>2006</x:v>
      </x:c>
      <x:c r="Q9" t="n">
        <x:v>14.4</x:v>
      </x:c>
      <x:c r="R9" t="n">
        <x:v>13</x:v>
      </x:c>
    </x:row>
    <x:row r="10">
      <x:c r="A10" t="str">
        <x:v>CA Biz 2002-2023</x:v>
      </x:c>
      <x:c r="B10" t="str">
        <x:v>2002 to 2023</x:v>
      </x:c>
      <x:c r="C10" t="n">
        <x:v>22</x:v>
      </x:c>
      <x:c r="D10" t="str">
        <x:v>Historical seed table</x:v>
      </x:c>
      <x:c r="P10" t="n">
        <x:v>2007</x:v>
      </x:c>
      <x:c r="Q10" t="n">
        <x:v>15.2</x:v>
      </x:c>
      <x:c r="R10" t="n">
        <x:v>12</x:v>
      </x:c>
    </x:row>
    <x:row r="11">
      <x:c r="A11" t="str">
        <x:v>CA Biz 1983-2012</x:v>
      </x:c>
      <x:c r="B11" t="str">
        <x:v>1983/1984 to 2011/2012</x:v>
      </x:c>
      <x:c r="C11" t="n">
        <x:v>29</x:v>
      </x:c>
      <x:c r="D11" t="str">
        <x:v>Historical seed table</x:v>
      </x:c>
      <x:c r="P11" t="n">
        <x:v>2008</x:v>
      </x:c>
      <x:c r="Q11" t="n">
        <x:v>14.3</x:v>
      </x:c>
      <x:c r="R11" t="n">
        <x:v>12.4</x:v>
      </x:c>
    </x:row>
    <x:row r="12">
      <x:c r="A12" t="str">
        <x:v>US SB Rates</x:v>
      </x:c>
      <x:c r="B12" t="str">
        <x:v>2024:Q4 to 2025:Q4</x:v>
      </x:c>
      <x:c r="C12" t="n">
        <x:v>40</x:v>
      </x:c>
      <x:c r="D12" t="str">
        <x:v>Seed table + source URL</x:v>
      </x:c>
      <x:c r="P12" t="n">
        <x:v>2009</x:v>
      </x:c>
      <x:c r="Q12" t="n">
        <x:v>13.2</x:v>
      </x:c>
      <x:c r="R12" t="n">
        <x:v>12.7</x:v>
      </x:c>
    </x:row>
    <x:row r="13">
      <x:c r="A13" t="str">
        <x:v>US Mortgage Recent</x:v>
      </x:c>
      <x:c r="B13" t="str">
        <x:v>2026-03-12 to 2026-04-23</x:v>
      </x:c>
      <x:c r="C13" t="n">
        <x:v>7</x:v>
      </x:c>
      <x:c r="D13" t="str">
        <x:v>Seed table + source URL</x:v>
      </x:c>
      <x:c r="P13" t="n">
        <x:v>2010</x:v>
      </x:c>
      <x:c r="Q13" t="n">
        <x:v>13.3</x:v>
      </x:c>
      <x:c r="R13" t="n">
        <x:v>12</x:v>
      </x:c>
    </x:row>
    <x:row r="14">
      <x:c r="A14" t="str">
        <x:v>GDP Housing</x:v>
      </x:c>
      <x:c r="B14" t="str">
        <x:v>2014 to 2024</x:v>
      </x:c>
      <x:c r="C14" t="n">
        <x:v>11</x:v>
      </x:c>
      <x:c r="D14" t="str">
        <x:v>Seed table + source URL</x:v>
      </x:c>
      <x:c r="P14" t="n">
        <x:v>2011</x:v>
      </x:c>
      <x:c r="Q14" t="n">
        <x:v>13.1</x:v>
      </x:c>
      <x:c r="R14" t="n">
        <x:v>11.8</x:v>
      </x:c>
    </x:row>
    <x:row r="15">
      <x:c r="A15" t="str">
        <x:v>US Housing Share</x:v>
      </x:c>
      <x:c r="B15" t="str">
        <x:v>2015 to 2025</x:v>
      </x:c>
      <x:c r="C15" t="n">
        <x:v>11</x:v>
      </x:c>
      <x:c r="D15" t="str">
        <x:v>Seed table + source URL</x:v>
      </x:c>
      <x:c r="P15" t="n">
        <x:v>2012</x:v>
      </x:c>
      <x:c r="Q15" t="n">
        <x:v>13.1</x:v>
      </x:c>
      <x:c r="R15" t="n">
        <x:v>11.8</x:v>
      </x:c>
    </x:row>
    <x:row r="16">
      <x:c r="A16" t="str">
        <x:v>CA Housing Econ</x:v>
      </x:c>
      <x:c r="B16" t="str">
        <x:v>2024</x:v>
      </x:c>
      <x:c r="C16" t="n">
        <x:v>5</x:v>
      </x:c>
      <x:c r="D16" t="str">
        <x:v>Seed table + source URL</x:v>
      </x:c>
      <x:c r="P16" t="n">
        <x:v>2013</x:v>
      </x:c>
      <x:c r="Q16" t="n">
        <x:v>12.6</x:v>
      </x:c>
      <x:c r="R16" t="n">
        <x:v>11.8</x:v>
      </x:c>
    </x:row>
    <x:row r="17">
      <x:c r="P17" t="n">
        <x:v>2014</x:v>
      </x:c>
      <x:c r="Q17" t="n">
        <x:v>12.7</x:v>
      </x:c>
      <x:c r="R17" t="n">
        <x:v>11.5</x:v>
      </x:c>
    </x:row>
    <x:row r="18">
      <x:c r="P18" t="n">
        <x:v>2015</x:v>
      </x:c>
      <x:c r="Q18" t="n">
        <x:v>12.3</x:v>
      </x:c>
      <x:c r="R18" t="n">
        <x:v>11.5</x:v>
      </x:c>
    </x:row>
    <x:row r="19">
      <x:c r="A19" s="26" t="str">
        <x:v>Key current/proxy spread seeds</x:v>
      </x:c>
      <x:c r="B19" t="str"/>
      <x:c r="C19" t="str"/>
      <x:c r="D19" t="str"/>
      <x:c r="P19" t="n">
        <x:v>2016</x:v>
      </x:c>
      <x:c r="Q19" t="n">
        <x:v>12.1</x:v>
      </x:c>
      <x:c r="R19" t="n">
        <x:v>12</x:v>
      </x:c>
    </x:row>
    <x:row r="20">
      <x:c r="A20" s="15" t="str">
        <x:v>Metric</x:v>
      </x:c>
      <x:c r="B20" s="15" t="str">
        <x:v>Value</x:v>
      </x:c>
      <x:c r="C20" s="15" t="str">
        <x:v>Interpretation</x:v>
      </x:c>
      <x:c r="D20" s="15" t="str">
        <x:v>Status</x:v>
      </x:c>
      <x:c r="P20" t="n">
        <x:v>2017</x:v>
      </x:c>
      <x:c r="Q20" t="n">
        <x:v>12.7</x:v>
      </x:c>
      <x:c r="R20" t="n">
        <x:v>11.5</x:v>
      </x:c>
    </x:row>
    <x:row r="21">
      <x:c r="A21" t="str">
        <x:v>Canada official aggregate: business loans vs insured residential fixed 5+ mortgages</x:v>
      </x:c>
      <x:c r="B21" t="str">
        <x:v>+50 bps</x:v>
      </x:c>
      <x:c r="C21" t="str">
        <x:v>February 2026 Bank of Canada funds-advanced spread; aggregate, not SME-specific.</x:v>
      </x:c>
      <x:c r="D21" t="str">
        <x:v>Official seed</x:v>
      </x:c>
      <x:c r="P21" t="n">
        <x:v>2018</x:v>
      </x:c>
      <x:c r="Q21" t="n">
        <x:v>12.7</x:v>
      </x:c>
      <x:c r="R21" t="n">
        <x:v>11.5</x:v>
      </x:c>
    </x:row>
    <x:row r="22">
      <x:c r="A22" t="str">
        <x:v>Canada official aggregate: business loans vs uninsured residential fixed 5+ mortgages</x:v>
      </x:c>
      <x:c r="B22" t="str">
        <x:v>+8 bps</x:v>
      </x:c>
      <x:c r="C22" t="str">
        <x:v>February 2026 Bank of Canada funds-advanced spread; aggregate, not SME-specific.</x:v>
      </x:c>
      <x:c r="D22" t="str">
        <x:v>Official seed</x:v>
      </x:c>
      <x:c r="P22" t="n">
        <x:v>2019</x:v>
      </x:c>
      <x:c r="Q22" t="n">
        <x:v>14.1</x:v>
      </x:c>
      <x:c r="R22" t="n">
        <x:v>11.8</x:v>
      </x:c>
    </x:row>
    <x:row r="23">
      <x:c r="A23" t="str">
        <x:v>Canada entrepreneur-facing proxy: BDC simulator implied rate vs posted 5-year mortgage</x:v>
      </x:c>
      <x:c r="B23" t="str">
        <x:v>+313 bps</x:v>
      </x:c>
      <x:c r="C23" t="str">
        <x:v>Practical retail proxy; useful for thesis framing but not a statistical time series.</x:v>
      </x:c>
      <x:c r="D23" t="str">
        <x:v>Proxy seed</x:v>
      </x:c>
      <x:c r="P23" t="n">
        <x:v>2020</x:v>
      </x:c>
      <x:c r="Q23" t="n">
        <x:v>11.5</x:v>
      </x:c>
      <x:c r="R23" t="n">
        <x:v>14</x:v>
      </x:c>
    </x:row>
    <x:row r="24">
      <x:c r="A24" t="str">
        <x:v>U.S. small-business rate seed</x:v>
      </x:c>
      <x:c r="B24" t="str">
        <x:v>6.65%–7.50%</x:v>
      </x:c>
      <x:c r="C24" t="str">
        <x:v>Kansas City Fed Q4 2025 median new line-of-credit range by bank type/price structure.</x:v>
      </x:c>
      <x:c r="D24" t="str">
        <x:v>Official survey seed</x:v>
      </x:c>
      <x:c r="P24" t="n">
        <x:v>2021</x:v>
      </x:c>
      <x:c r="Q24" t="n">
        <x:v>13.7</x:v>
      </x:c>
      <x:c r="R24" t="n">
        <x:v>12.1</x:v>
      </x:c>
    </x:row>
    <x:row r="25">
      <x:c r="P25" t="n">
        <x:v>2022</x:v>
      </x:c>
      <x:c r="Q25" t="n">
        <x:v>13.9</x:v>
      </x:c>
      <x:c r="R25" t="n">
        <x:v>10.8</x:v>
      </x:c>
    </x:row>
    <x:row r="26">
      <x:c r="A26" s="26" t="str">
        <x:v>Method note</x:v>
      </x:c>
      <x:c r="P26" t="n">
        <x:v>2023</x:v>
      </x:c>
      <x:c r="Q26" t="n">
        <x:v>12.3</x:v>
      </x:c>
      <x:c r="R26" t="n">
        <x:v>11.9</x:v>
      </x:c>
    </x:row>
    <x:row r="27" ht="48" customHeight="1">
      <x:c r="A27" s="32" t="str">
        <x:v>The workbook separates official aggregate lending-rate spreads from entrepreneur-facing access-to-capital proxies. The whitepaper should use both: official spreads for defensible macro measurement, and proxy/access spreads for the practical borrower-level distortion described in the commentary.</x:v>
      </x:c>
    </x:row>
    <x:row r="28" ht="48" customHeight="1"/>
    <x:row r="29" ht="48" customHeight="1"/>
    <x:row r="30" ht="48" customHeight="1"/>
  </x:sheetData>
  <x:mergeCells>
    <x:mergeCell ref="A1:N1"/>
    <x:mergeCell ref="A2:N2"/>
    <x:mergeCell ref="A19:D19"/>
    <x:mergeCell ref="A26:D26"/>
    <x:mergeCell ref="A27:D30"/>
  </x:mergeCells>
  <x:pageMargins left="0.7" right="0.7" top="0.75" bottom="0.75" header="0.3" footer="0.3"/>
  <x:drawing xmlns:r="http://schemas.openxmlformats.org/officeDocument/2006/relationships" r:id="Rd28afff62c8f4af7"/>
  <x:tableParts count="1">
    <x:tablePart xmlns:r="http://schemas.openxmlformats.org/officeDocument/2006/relationships" r:id="R8d21e3c7089e4c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6" hidden="0" customWidth="1"/>
    <x:col min="3" max="3" width="16" hidden="0" customWidth="1"/>
    <x:col min="4" max="4" width="24" hidden="0" customWidth="1"/>
    <x:col min="5" max="5" width="48" hidden="0" customWidth="1"/>
  </x:cols>
  <x:sheetData>
    <x:row r="1">
      <x:c r="A1" s="15" t="str">
        <x:v>Field / Concept</x:v>
      </x:c>
      <x:c r="B1" s="15" t="str">
        <x:v>Definition</x:v>
      </x:c>
      <x:c r="C1" s="15" t="str">
        <x:v>Unit</x:v>
      </x:c>
      <x:c r="D1" s="15" t="str">
        <x:v>Where used</x:v>
      </x:c>
      <x:c r="E1" s="15" t="str">
        <x:v>Notes</x:v>
      </x:c>
    </x:row>
    <x:row r="2">
      <x:c r="A2" t="str">
        <x:v>mortgage_rate_pct</x:v>
      </x:c>
      <x:c r="B2" t="str">
        <x:v>Residential mortgage borrowing-rate proxy</x:v>
      </x:c>
      <x:c r="C2" t="str">
        <x:v>percent</x:v>
      </x:c>
      <x:c r="D2" t="str">
        <x:v>Credit spreads, mortgage time series</x:v>
      </x:c>
      <x:c r="E2" t="str">
        <x:v>Use exact product definitions; Canadian terms differ from U.S. 30-year fixed mortgages.</x:v>
      </x:c>
    </x:row>
    <x:row r="3">
      <x:c r="A3" t="str">
        <x:v>business_rate_pct</x:v>
      </x:c>
      <x:c r="B3" t="str">
        <x:v>Business or small-business borrowing-rate proxy</x:v>
      </x:c>
      <x:c r="C3" t="str">
        <x:v>percent</x:v>
      </x:c>
      <x:c r="D3" t="str">
        <x:v>Credit spreads, business credit tables</x:v>
      </x:c>
      <x:c r="E3" t="str">
        <x:v>Aggregate corporate bank rates can be much lower than entrepreneur-facing retail proxies.</x:v>
      </x:c>
    </x:row>
    <x:row r="4">
      <x:c r="A4" t="str">
        <x:v>spread_pct_points</x:v>
      </x:c>
      <x:c r="B4" t="str">
        <x:v>Business rate minus mortgage rate</x:v>
      </x:c>
      <x:c r="C4" t="str">
        <x:v>percentage points</x:v>
      </x:c>
      <x:c r="D4" t="str">
        <x:v>CA Spread Seed</x:v>
      </x:c>
      <x:c r="E4" t="str">
        <x:v>Formula-driven in workbook where both source rates are available.</x:v>
      </x:c>
    </x:row>
    <x:row r="5">
      <x:c r="A5" t="str">
        <x:v>spread_bps</x:v>
      </x:c>
      <x:c r="B5" t="str">
        <x:v>Business rate minus mortgage rate multiplied by 100</x:v>
      </x:c>
      <x:c r="C5" t="str">
        <x:v>basis points</x:v>
      </x:c>
      <x:c r="D5" t="str">
        <x:v>CA Spread Seed</x:v>
      </x:c>
      <x:c r="E5" t="str">
        <x:v>Positive values mean business credit is more expensive than mortgage credit.</x:v>
      </x:c>
    </x:row>
    <x:row r="6">
      <x:c r="A6" t="str">
        <x:v>entry_rate_pct</x:v>
      </x:c>
      <x:c r="B6" t="str">
        <x:v>Entrant firms as share of active businesses</x:v>
      </x:c>
      <x:c r="C6" t="str">
        <x:v>percent</x:v>
      </x:c>
      <x:c r="D6" t="str">
        <x:v>CA Biz 2002-2023; CA Biz 1983-2012</x:v>
      </x:c>
      <x:c r="E6" t="str">
        <x:v>Useful proxy for business dynamism.</x:v>
      </x:c>
    </x:row>
    <x:row r="7">
      <x:c r="A7" t="str">
        <x:v>exit_rate_pct</x:v>
      </x:c>
      <x:c r="B7" t="str">
        <x:v>Exiting firms as share of active businesses</x:v>
      </x:c>
      <x:c r="C7" t="str">
        <x:v>percent</x:v>
      </x:c>
      <x:c r="D7" t="str">
        <x:v>CA Biz 2002-2023; CA Biz 1983-2012</x:v>
      </x:c>
      <x:c r="E7" t="str">
        <x:v>High exit and low entry weakens dynamism.</x:v>
      </x:c>
    </x:row>
    <x:row r="8">
      <x:c r="A8" t="str">
        <x:v>real_gdp_per_capita_2017_cad</x:v>
      </x:c>
      <x:c r="B8" t="str">
        <x:v>Real GDP per capita in 2017 constant dollars</x:v>
      </x:c>
      <x:c r="C8" t="str">
        <x:v>CAD</x:v>
      </x:c>
      <x:c r="D8" t="str">
        <x:v>GDP Housing</x:v>
      </x:c>
      <x:c r="E8" t="str">
        <x:v>Living-standards context.</x:v>
      </x:c>
    </x:row>
    <x:row r="9">
      <x:c r="A9" t="str">
        <x:v>residential_fixed_investment_share_gdp_pct</x:v>
      </x:c>
      <x:c r="B9" t="str">
        <x:v>Residential fixed investment as a share of GDP</x:v>
      </x:c>
      <x:c r="C9" t="str">
        <x:v>percent</x:v>
      </x:c>
      <x:c r="D9" t="str">
        <x:v>US Housing Share</x:v>
      </x:c>
      <x:c r="E9" t="str">
        <x:v>U.S. harmonized BEA/FRED series.</x:v>
      </x:c>
    </x:row>
    <x:row r="10">
      <x:c r="A10" t="str">
        <x:v>housing economic account metrics</x:v>
      </x:c>
      <x:c r="B10" t="str">
        <x:v>StatCan housing investment, GDP contribution, jobs, asset stock and wealth share</x:v>
      </x:c>
      <x:c r="C10" t="str">
        <x:v>various</x:v>
      </x:c>
      <x:c r="D10" t="str">
        <x:v>CA Housing Econ</x:v>
      </x:c>
      <x:c r="E10" t="str">
        <x:v>Canada housing-economy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24149d2539284e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</x:cols>
  <x:sheetData>
    <x:row r="1">
      <x:c r="A1" s="44" t="str">
        <x:v>How to use this workbook</x:v>
      </x:c>
      <x:c r="B1" s="36"/>
    </x:row>
    <x:row r="3">
      <x:c r="A3" s="15" t="str">
        <x:v>Step</x:v>
      </x:c>
      <x:c r="B3" s="15" t="str">
        <x:v>Instruction</x:v>
      </x:c>
    </x:row>
    <x:row r="4">
      <x:c r="A4" t="str">
        <x:v>1</x:v>
      </x:c>
      <x:c r="B4" t="str">
        <x:v>Use the Dashboard for the thesis-level view and key caveats.</x:v>
      </x:c>
    </x:row>
    <x:row r="5">
      <x:c r="A5" t="str">
        <x:v>2</x:v>
      </x:c>
      <x:c r="B5" t="str">
        <x:v>Use Source Registry for official APIs/tables and the OpenClaw fetch targets.</x:v>
      </x:c>
    </x:row>
    <x:row r="6">
      <x:c r="A6" t="str">
        <x:v>3</x:v>
      </x:c>
      <x:c r="B6" t="str">
        <x:v>Use CA Spread Seed as the working spread table; it intentionally distinguishes official aggregate spreads from entrepreneur-facing proxy spreads.</x:v>
      </x:c>
    </x:row>
    <x:row r="7">
      <x:c r="A7" t="str">
        <x:v>4</x:v>
      </x:c>
      <x:c r="B7" t="str">
        <x:v>Run openclaw_fetch_credit_spreads.py from the companion ZIP to refresh full official series from BoC Valet, FRED, and StatCan sources.</x:v>
      </x:c>
    </x:row>
    <x:row r="8">
      <x:c r="A8" t="str">
        <x:v>5</x:v>
      </x:c>
      <x:c r="B8" t="str">
        <x:v>Do not treat the BDC simulator proxy as a time series. It is a borrower-facing evidence point for the access-to-capital spread.</x:v>
      </x:c>
    </x:row>
    <x:row r="11">
      <x:c r="A11" s="26" t="str">
        <x:v>Companion artifact</x:v>
      </x:c>
    </x:row>
    <x:row r="12">
      <x:c r="A12" s="7" t="str">
        <x:v>The ZIP file includes all CSVs plus openclaw_fetch_credit_spreads.py, which refreshes the full time-series pulls where APIs are accessible in the runtime environment.</x:v>
      </x:c>
    </x:row>
  </x:sheetData>
  <x:mergeCells>
    <x:mergeCell ref="A1:F1"/>
    <x:mergeCell ref="A11:F11"/>
    <x:mergeCell ref="A12:F13"/>
  </x:mergeCells>
  <x:pageMargins left="0.7" right="0.7" top="0.75" bottom="0.75" header="0.3" footer="0.3"/>
  <x:tableParts count="1">
    <x:tablePart xmlns:r="http://schemas.openxmlformats.org/officeDocument/2006/relationships" r:id="Rf6194d39a50e4b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42" hidden="0" customWidth="1"/>
    <x:col min="7" max="7" width="42" hidden="0" customWidth="1"/>
    <x:col min="8" max="8" width="42" hidden="0" customWidth="1"/>
    <x:col min="9" max="9" width="16" hidden="0" customWidth="1"/>
    <x:col min="10" max="10" width="42" hidden="0" customWidth="1"/>
  </x:cols>
  <x:sheetData>
    <x:row r="1">
      <x:c r="A1" s="15" t="str">
        <x:v>dataset_id</x:v>
      </x:c>
      <x:c r="B1" s="15" t="str">
        <x:v>geography</x:v>
      </x:c>
      <x:c r="C1" s="15" t="str">
        <x:v>theme</x:v>
      </x:c>
      <x:c r="D1" s="15" t="str">
        <x:v>frequency</x:v>
      </x:c>
      <x:c r="E1" s="15" t="str">
        <x:v>official_series_or_table</x:v>
      </x:c>
      <x:c r="F1" s="15" t="str">
        <x:v>source</x:v>
      </x:c>
      <x:c r="G1" s="15" t="str">
        <x:v>source_page_url</x:v>
      </x:c>
      <x:c r="H1" s="15" t="str">
        <x:v>download_url</x:v>
      </x:c>
      <x:c r="I1" s="15" t="str">
        <x:v>status</x:v>
      </x:c>
      <x:c r="J1" s="15" t="str">
        <x:v>notes</x:v>
      </x:c>
    </x:row>
    <x:row r="2">
      <x:c r="A2" t="str">
        <x:v>ca_posted_rates_weekly</x:v>
      </x:c>
      <x:c r="B2" t="str">
        <x:v>Canada</x:v>
      </x:c>
      <x:c r="C2" t="str">
        <x:v>Mortgage and bank posted rates</x:v>
      </x:c>
      <x:c r="D2" t="str">
        <x:v>Weekly</x:v>
      </x:c>
      <x:c r="E2" s="36" t="str">
        <x:v>Bank of Canada group: chartered_bank_interest; V80691335 = 5-year conventional mortgage, V80691311 = prime rate</x:v>
      </x:c>
      <x:c r="F2" s="36" t="str">
        <x:v>Bank of Canada</x:v>
      </x:c>
      <x:c r="G2" s="36" t="str">
        <x:v>https://www.bankofcanada.ca/rates/banking-and-financial-statistics/posted-interest-rates-offered-by-chartered-banks/</x:v>
      </x:c>
      <x:c r="H2" s="36" t="str">
        <x:v>https://www.bankofcanada.ca/valet/observations/group/chartered_bank_interest/json</x:v>
      </x:c>
      <x:c r="I2" t="str">
        <x:v>Seed includes latest five weekly rows from source page; full history available via Valet API</x:v>
      </x:c>
      <x:c r="J2" s="36" t="str">
        <x:v>Posted rates are typical rates offered by six major chartered banks; monthly rates are last Wednesday of month.</x:v>
      </x:c>
    </x:row>
    <x:row r="3">
      <x:c r="A3" t="str">
        <x:v>ca_new_existing_lending_rates_monthly</x:v>
      </x:c>
      <x:c r="B3" t="str">
        <x:v>Canada</x:v>
      </x:c>
      <x:c r="C3" t="str">
        <x:v>Residential vs corporate lending rates</x:v>
      </x:c>
      <x:c r="D3" t="str">
        <x:v>Monthly</x:v>
      </x:c>
      <x:c r="E3" s="36" t="str">
        <x:v>Bank of Canada groups: A4_RATES_MONTHLY, A4_RATES_MORTGAGES, A4_RATES_EXTENDED</x:v>
      </x:c>
      <x:c r="F3" s="36" t="str">
        <x:v>Bank of Canada</x:v>
      </x:c>
      <x:c r="G3" s="36" t="str">
        <x:v>https://www.bankofcanada.ca/rates/banking-and-financial-statistics/interest-rates-for-new-and-existing-lending-by-chartered-banks/</x:v>
      </x:c>
      <x:c r="H3" s="36" t="str">
        <x:v>https://www.bankofcanada.ca/valet/observations/group/A4_RATES_MONTHLY/json?start_date=2013-01-01</x:v>
      </x:c>
      <x:c r="I3" t="str">
        <x:v>Seed includes 2025-10 to 2026-02 values from source page; full history via Valet API</x:v>
      </x:c>
      <x:c r="J3" s="36" t="str">
        <x:v>Rates are volume-weighted averages. Business loans total excludes non-residential mortgages to the personal sector as of Jan 2019.</x:v>
      </x:c>
    </x:row>
    <x:row r="4">
      <x:c r="A4" t="str">
        <x:v>ca_mortgage_5y_historical_monthly</x:v>
      </x:c>
      <x:c r="B4" t="str">
        <x:v>Canada</x:v>
      </x:c>
      <x:c r="C4" t="str">
        <x:v>Historical conventional 5-year mortgage rate</x:v>
      </x:c>
      <x:c r="D4" t="str">
        <x:v>Monthly</x:v>
      </x:c>
      <x:c r="E4" s="36" t="str">
        <x:v>V122521</x:v>
      </x:c>
      <x:c r="F4" s="36" t="str">
        <x:v>Bank of Canada / Statistics Canada</x:v>
      </x:c>
      <x:c r="G4" s="36" t="str">
        <x:v>https://www.bankofcanada.ca/wp-content/uploads/2010/09/selected_historical_v122521.pdf</x:v>
      </x:c>
      <x:c r="H4" s="36" t="str">
        <x:v>https://www.bankofcanada.ca/wp-content/uploads/2010/09/selected_historical_v122521.pdf</x:v>
      </x:c>
      <x:c r="I4" t="str">
        <x:v>Seed includes 1973-2010 data from Bank of Canada historical PDF; extend with StatCan V122521 / Valet current weekly series</x:v>
      </x:c>
      <x:c r="J4" s="36" t="str">
        <x:v>Rates are most typical charged by major chartered banks on residential mortgages, last Wednesday of month.</x:v>
      </x:c>
    </x:row>
    <x:row r="5">
      <x:c r="A5" t="str">
        <x:v>us_mortgage_30y_weekly</x:v>
      </x:c>
      <x:c r="B5" t="str">
        <x:v>United States</x:v>
      </x:c>
      <x:c r="C5" t="str">
        <x:v>Mortgage rate</x:v>
      </x:c>
      <x:c r="D5" t="str">
        <x:v>Weekly</x:v>
      </x:c>
      <x:c r="E5" s="36" t="str">
        <x:v>FRED MORTGAGE30US</x:v>
      </x:c>
      <x:c r="F5" s="36" t="str">
        <x:v>Freddie Mac via FRED</x:v>
      </x:c>
      <x:c r="G5" s="36" t="str">
        <x:v>https://fred.stlouisfed.org/series/MORTGAGE30US</x:v>
      </x:c>
      <x:c r="H5" s="36" t="str">
        <x:v>https://fred.stlouisfed.org/graph/fredgraph.csv?id=MORTGAGE30US</x:v>
      </x:c>
      <x:c r="I5" t="str">
        <x:v>Seed includes recent observations; full history via FRED CSV</x:v>
      </x:c>
      <x:c r="J5" s="36" t="str">
        <x:v>Freddie Mac changed PMMS methodology on Nov 17, 2022.</x:v>
      </x:c>
    </x:row>
    <x:row r="6">
      <x:c r="A6" t="str">
        <x:v>us_residential_investment_share_gdp</x:v>
      </x:c>
      <x:c r="B6" t="str">
        <x:v>United States</x:v>
      </x:c>
      <x:c r="C6" t="str">
        <x:v>Residential investment share of GDP</x:v>
      </x:c>
      <x:c r="D6" t="str">
        <x:v>Quarterly / Annual</x:v>
      </x:c>
      <x:c r="E6" s="36" t="str">
        <x:v>FRED A011RE1Q156NBEA, A011RE1A156NBEA</x:v>
      </x:c>
      <x:c r="F6" s="36" t="str">
        <x:v>BEA via FRED</x:v>
      </x:c>
      <x:c r="G6" s="36" t="str">
        <x:v>https://fred.stlouisfed.org/series/A011RE1Q156NBEA</x:v>
      </x:c>
      <x:c r="H6" s="36" t="str">
        <x:v>https://fred.stlouisfed.org/graph/fredgraph.csv?id=A011RE1Q156NBEA</x:v>
      </x:c>
      <x:c r="I6" t="str">
        <x:v>Seed includes recent annual values; full history via FRED CSV</x:v>
      </x:c>
      <x:c r="J6" s="36" t="str">
        <x:v>BEA Account Code A011RE.</x:v>
      </x:c>
    </x:row>
    <x:row r="7">
      <x:c r="A7" t="str">
        <x:v>us_small_business_lending_rates</x:v>
      </x:c>
      <x:c r="B7" t="str">
        <x:v>United States</x:v>
      </x:c>
      <x:c r="C7" t="str">
        <x:v>Small business credit rates</x:v>
      </x:c>
      <x:c r="D7" t="str">
        <x:v>Quarterly</x:v>
      </x:c>
      <x:c r="E7" s="36" t="str">
        <x:v>FR 2028D, KC Fed Small Business Lending Survey</x:v>
      </x:c>
      <x:c r="F7" s="36" t="str">
        <x:v>Federal Reserve Bank of Kansas City</x:v>
      </x:c>
      <x:c r="G7" s="36" t="str">
        <x:v>https://www.kansascityfed.org/surveys/small-business-lending-survey/small-business-lending-continues-to-increase-q4-2025/</x:v>
      </x:c>
      <x:c r="H7" s="36" t="str">
        <x:v>https://www.kansascityfed.org/surveys/small-business-lending-survey/</x:v>
      </x:c>
      <x:c r="I7" t="str">
        <x:v>Seed includes Q4 2024-Q4 2025 chart data from source page; aggregate Excel available from KC Fed</x:v>
      </x:c>
      <x:c r="J7" s="36" t="str">
        <x:v>Small business loan defined as loan to firm with $5M or less annual gross revenue.</x:v>
      </x:c>
    </x:row>
    <x:row r="8">
      <x:c r="A8" t="str">
        <x:v>ca_business_entry_exit_2002_2023</x:v>
      </x:c>
      <x:c r="B8" t="str">
        <x:v>Canada</x:v>
      </x:c>
      <x:c r="C8" t="str">
        <x:v>Business dynamism</x:v>
      </x:c>
      <x:c r="D8" t="str">
        <x:v>Annual</x:v>
      </x:c>
      <x:c r="E8" s="36" t="str">
        <x:v>Statistics Canada Table 33-10-0164-01</x:v>
      </x:c>
      <x:c r="F8" s="36" t="str">
        <x:v>Statistics Canada</x:v>
      </x:c>
      <x:c r="G8" s="36" t="str">
        <x:v>https://www150.statcan.gc.ca/n1/daily-quotidien/260212/cg-a001-eng.htm</x:v>
      </x:c>
      <x:c r="H8" s="36" t="str">
        <x:v>https://www150.statcan.gc.ca/n1/tbl/csv/33100164-eng.zip</x:v>
      </x:c>
      <x:c r="I8" t="str">
        <x:v>Seed includes chart data for 2002-2023</x:v>
      </x:c>
      <x:c r="J8" s="36" t="str">
        <x:v>Private business sector; includes growth rate of active businesses, entry rate, exit rate.</x:v>
      </x:c>
    </x:row>
    <x:row r="9">
      <x:c r="A9" t="str">
        <x:v>ca_business_entry_exit_1983_2012</x:v>
      </x:c>
      <x:c r="B9" t="str">
        <x:v>Canada</x:v>
      </x:c>
      <x:c r="C9" t="str">
        <x:v>Business dynamism long-run archive</x:v>
      </x:c>
      <x:c r="D9" t="str">
        <x:v>Annual period</x:v>
      </x:c>
      <x:c r="E9" s="36" t="str">
        <x:v>Longitudinal Employment Analysis Program; archived StatCan chart</x:v>
      </x:c>
      <x:c r="F9" s="36" t="str">
        <x:v>Statistics Canada</x:v>
      </x:c>
      <x:c r="G9" s="36" t="str">
        <x:v>https://www150.statcan.gc.ca/n1/daily-quotidien/140825/cg-a001-eng.htm</x:v>
      </x:c>
      <x:c r="H9" s="36" t="str">
        <x:v>https://www150.statcan.gc.ca/n1/daily-quotidien/140825/cg-a001-eng.htm</x:v>
      </x:c>
      <x:c r="I9" t="str">
        <x:v>Seed includes archived chart data 1983/1984-2011/2012</x:v>
      </x:c>
      <x:c r="J9" s="36" t="str">
        <x:v>Archived/experimental linked data; use separately from modern Table 33-10-0164-01.</x:v>
      </x:c>
    </x:row>
    <x:row r="10">
      <x:c r="A10" t="str">
        <x:v>ca_gdp_per_capita_annual</x:v>
      </x:c>
      <x:c r="B10" t="str">
        <x:v>Canada</x:v>
      </x:c>
      <x:c r="C10" t="str">
        <x:v>GDP per capita</x:v>
      </x:c>
      <x:c r="D10" t="str">
        <x:v>Annual</x:v>
      </x:c>
      <x:c r="E10" s="36" t="str">
        <x:v>Statistics Canada Table 36-10-0706-01</x:v>
      </x:c>
      <x:c r="F10" s="36" t="str">
        <x:v>Statistics Canada Quality of Life Hub</x:v>
      </x:c>
      <x:c r="G10" s="36" t="str">
        <x:v>https://www.statcan.gc.ca/hub-carrefour/quality-life-qualite-vie/prosperity-prosperite/gdp-pib-eng.htm</x:v>
      </x:c>
      <x:c r="H10" s="36" t="str">
        <x:v>https://www150.statcan.gc.ca/n1/tbl/csv/36100706-eng.zip</x:v>
      </x:c>
      <x:c r="I10" t="str">
        <x:v>Seed includes Quality of Life annual values 2014-2024</x:v>
      </x:c>
      <x:c r="J10" s="36" t="str">
        <x:v>All figures are in 2017 constant dollars, averaged by year.</x:v>
      </x:c>
    </x:row>
    <x:row r="11">
      <x:c r="A11" t="str">
        <x:v>ca_housing_economic_account_2024</x:v>
      </x:c>
      <x:c r="B11" t="str">
        <x:v>Canada</x:v>
      </x:c>
      <x:c r="C11" t="str">
        <x:v>Housing investment / wealth</x:v>
      </x:c>
      <x:c r="D11" t="str">
        <x:v>Annual</x:v>
      </x:c>
      <x:c r="E11" s="36" t="str">
        <x:v>Housing Economic Account 2024</x:v>
      </x:c>
      <x:c r="F11" s="36" t="str">
        <x:v>Statistics Canada</x:v>
      </x:c>
      <x:c r="G11" s="36" t="str">
        <x:v>https://www150.statcan.gc.ca/n1/daily-quotidien/250624/dq250624d-eng.htm</x:v>
      </x:c>
      <x:c r="H11" s="36" t="str">
        <x:v>https://www150.statcan.gc.ca/n1/daily-quotidien/250624/dq250624d-eng.htm</x:v>
      </x:c>
      <x:c r="I11" t="str">
        <x:v>Seed includes 2024 headline metrics</x:v>
      </x:c>
      <x:c r="J11" s="36" t="str">
        <x:v>Nominal investment in residential housing; GDP associated with housing; housing asset stock as share of national wealth.</x:v>
      </x:c>
    </x:row>
    <x:row r="12">
      <x:c r="A12" t="str">
        <x:v>bdc_small_business_loan_proxy</x:v>
      </x:c>
      <x:c r="B12" t="str">
        <x:v>Canada</x:v>
      </x:c>
      <x:c r="C12" t="str">
        <x:v>Entrepreneur-facing small business debt proxy</x:v>
      </x:c>
      <x:c r="D12" t="str">
        <x:v>Point-in-time calculator</x:v>
      </x:c>
      <x:c r="E12" s="36" t="str">
        <x:v>BDC Small Business Loan Simulator</x:v>
      </x:c>
      <x:c r="F12" s="36" t="str">
        <x:v>BDC</x:v>
      </x:c>
      <x:c r="G12" s="36" t="str">
        <x:v>https://www.bdc.ca/en/financing/small-business-loan/simulator</x:v>
      </x:c>
      <x:c r="H12" s="36" t="str">
        <x:v>https://www.bdc.ca/en/financing/small-business-loan/simulator</x:v>
      </x:c>
      <x:c r="I12" t="str">
        <x:v>Proxy only; not a statistical time series</x:v>
      </x:c>
      <x:c r="J12" s="36" t="str">
        <x:v>$100K, 5-year term, first 6 months interest-only payments shown at $768/month; implied simple annual interest rate ~9.216%.</x:v>
      </x:c>
    </x:row>
  </x:sheetData>
  <x:pageMargins left="0.7" right="0.7" top="0.75" bottom="0.75" header="0.3" footer="0.3"/>
  <x:tableParts count="1">
    <x:tablePart xmlns:r="http://schemas.openxmlformats.org/officeDocument/2006/relationships" r:id="Re2ce7395496a46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1">
      <x:c r="A1" s="15" t="str">
        <x:v>geography</x:v>
      </x:c>
      <x:c r="B1" s="15" t="str">
        <x:v>period</x:v>
      </x:c>
      <x:c r="C1" s="15" t="str">
        <x:v>mortgage_rate_label</x:v>
      </x:c>
      <x:c r="D1" s="15" t="str">
        <x:v>mortgage_rate_pct</x:v>
      </x:c>
      <x:c r="E1" s="15" t="str">
        <x:v>business_rate_label</x:v>
      </x:c>
      <x:c r="F1" s="15" t="str">
        <x:v>business_rate_pct</x:v>
      </x:c>
      <x:c r="G1" s="15" t="str">
        <x:v>spread_pct_points</x:v>
      </x:c>
      <x:c r="H1" s="15" t="str">
        <x:v>spread_bps</x:v>
      </x:c>
      <x:c r="I1" s="15" t="str">
        <x:v>status</x:v>
      </x:c>
      <x:c r="J1" s="15" t="str">
        <x:v>source_url</x:v>
      </x:c>
    </x:row>
    <x:row r="2">
      <x:c r="A2" t="str">
        <x:v>Canada</x:v>
      </x:c>
      <x:c r="B2" t="str">
        <x:v>2026-02</x:v>
      </x:c>
      <x:c r="C2" t="str">
        <x:v>BoC insured residential mortgages, funds advanced, fixed 5 years and over</x:v>
      </x:c>
      <x:c r="D2" s="38" t="n">
        <x:v>3.89</x:v>
      </x:c>
      <x:c r="E2" s="38" t="str">
        <x:v>BoC corporate credit, funds advanced, business loans total</x:v>
      </x:c>
      <x:c r="F2" s="38" t="n">
        <x:v>4.39</x:v>
      </x:c>
      <x:c r="G2" s="38" t="n">
        <x:f>IF(AND(ISNUMBER(D2),ISNUMBER(F2)),F2-D2,"")</x:f>
        <x:v>0.49999999999999956</x:v>
      </x:c>
      <x:c r="H2" s="38" t="n">
        <x:f>IF(ISNUMBER(G2),G2*100,"")</x:f>
        <x:v>49.99999999999996</x:v>
      </x:c>
      <x:c r="I2" t="str">
        <x:v>official aggregate spread, not SME-specific</x:v>
      </x:c>
      <x:c r="J2" s="36" t="str">
        <x:v>https://www.bankofcanada.ca/rates/banking-and-financial-statistics/interest-rates-for-new-and-existing-lending-by-chartered-banks/</x:v>
      </x:c>
    </x:row>
    <x:row r="3">
      <x:c r="A3" t="str">
        <x:v>Canada</x:v>
      </x:c>
      <x:c r="B3" t="str">
        <x:v>2026-02</x:v>
      </x:c>
      <x:c r="C3" t="str">
        <x:v>BoC uninsured residential mortgages, funds advanced, fixed 5 years and over</x:v>
      </x:c>
      <x:c r="D3" s="38" t="n">
        <x:v>4.31</x:v>
      </x:c>
      <x:c r="E3" s="38" t="str">
        <x:v>BoC corporate credit, funds advanced, business loans total</x:v>
      </x:c>
      <x:c r="F3" s="38" t="n">
        <x:v>4.39</x:v>
      </x:c>
      <x:c r="G3" s="38" t="n">
        <x:f>IF(AND(ISNUMBER(D3),ISNUMBER(F3)),F3-D3,"")</x:f>
        <x:v>0.08000000000000007</x:v>
      </x:c>
      <x:c r="H3" s="38" t="n">
        <x:f>IF(ISNUMBER(G3),G3*100,"")</x:f>
        <x:v>8.000000000000007</x:v>
      </x:c>
      <x:c r="I3" t="str">
        <x:v>official aggregate spread, not SME-specific</x:v>
      </x:c>
      <x:c r="J3" s="36" t="str">
        <x:v>https://www.bankofcanada.ca/rates/banking-and-financial-statistics/interest-rates-for-new-and-existing-lending-by-chartered-banks/</x:v>
      </x:c>
    </x:row>
    <x:row r="4">
      <x:c r="A4" t="str">
        <x:v>Canada</x:v>
      </x:c>
      <x:c r="B4" t="str">
        <x:v>2026-04</x:v>
      </x:c>
      <x:c r="C4" t="str">
        <x:v>BoC posted 5-year conventional mortgage</x:v>
      </x:c>
      <x:c r="D4" s="38" t="n">
        <x:v>6.09</x:v>
      </x:c>
      <x:c r="E4" s="38" t="str">
        <x:v>BDC small-business loan simulator implied simple annual rate from first six months interest-only payments</x:v>
      </x:c>
      <x:c r="F4" s="38" t="n">
        <x:v>9.216</x:v>
      </x:c>
      <x:c r="G4" s="38" t="n">
        <x:f>IF(AND(ISNUMBER(D4),ISNUMBER(F4)),F4-D4,"")</x:f>
        <x:v>3.1259999999999994</x:v>
      </x:c>
      <x:c r="H4" s="38" t="n">
        <x:f>IF(ISNUMBER(G4),G4*100,"")</x:f>
        <x:v>312.59999999999997</x:v>
      </x:c>
      <x:c r="I4" t="str">
        <x:v>entrepreneur-facing proxy; not a statistical time series</x:v>
      </x:c>
      <x:c r="J4" s="36" t="str">
        <x:v>https://www.bdc.ca/en/financing/small-business-loan/simulator</x:v>
      </x:c>
    </x:row>
    <x:row r="5">
      <x:c r="A5" t="str">
        <x:v>United States</x:v>
      </x:c>
      <x:c r="B5" t="str">
        <x:v>2025:Q4</x:v>
      </x:c>
      <x:c r="C5" t="str">
        <x:v>US 30-year mortgage; pull quarterly average from MORTGAGE30US before final analysis</x:v>
      </x:c>
      <x:c r="D5" s="38"/>
      <x:c r="E5" s="38" t="str">
        <x:v>KC Fed urban fixed new term loans</x:v>
      </x:c>
      <x:c r="F5" s="38" t="n">
        <x:v>6.75</x:v>
      </x:c>
      <x:c r="G5" s="38" t="str">
        <x:f>IF(AND(ISNUMBER(D5),ISNUMBER(F5)),F5-D5,"")</x:f>
      </x:c>
      <x:c r="H5" s="38" t="str">
        <x:f>IF(ISNUMBER(G5),G5*100,"")</x:f>
      </x:c>
      <x:c r="I5" t="str">
        <x:v>business-rate seed only; requires FRED quarterly average for matching mortgage spread</x:v>
      </x:c>
      <x:c r="J5" s="36" t="str">
        <x:v>https://www.kansascityfed.org/surveys/small-business-lending-survey/small-business-lending-continues-to-increase-q4-2025/</x:v>
      </x:c>
    </x:row>
    <x:row r="6">
      <x:c r="A6" t="str">
        <x:v>United States</x:v>
      </x:c>
      <x:c r="B6" t="str">
        <x:v>2025:Q4</x:v>
      </x:c>
      <x:c r="C6" t="str">
        <x:v>US 30-year mortgage; pull quarterly average from MORTGAGE30US before final analysis</x:v>
      </x:c>
      <x:c r="D6" s="38"/>
      <x:c r="E6" s="38" t="str">
        <x:v>KC Fed urban fixed new lines of credit</x:v>
      </x:c>
      <x:c r="F6" s="38" t="n">
        <x:v>6.65</x:v>
      </x:c>
      <x:c r="G6" s="38" t="str">
        <x:f>IF(AND(ISNUMBER(D6),ISNUMBER(F6)),F6-D6,"")</x:f>
      </x:c>
      <x:c r="H6" s="38" t="str">
        <x:f>IF(ISNUMBER(G6),G6*100,"")</x:f>
      </x:c>
      <x:c r="I6" t="str">
        <x:v>business-rate seed only; requires FRED quarterly average for matching mortgage spread</x:v>
      </x:c>
      <x:c r="J6" s="36" t="str">
        <x:v>https://www.kansascityfed.org/surveys/small-business-lending-survey/small-business-lending-continues-to-increase-q4-2025/</x:v>
      </x:c>
    </x:row>
  </x:sheetData>
  <x:pageMargins left="0.7" right="0.7" top="0.75" bottom="0.75" header="0.3" footer="0.3"/>
  <x:tableParts count="1">
    <x:tablePart xmlns:r="http://schemas.openxmlformats.org/officeDocument/2006/relationships" r:id="Rbad8f6b0175241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2" hidden="0" customWidth="1"/>
  </x:cols>
  <x:sheetData>
    <x:row r="1">
      <x:c r="A1" s="15" t="str">
        <x:v>period</x:v>
      </x:c>
      <x:c r="B1" s="15" t="str">
        <x:v>series_id</x:v>
      </x:c>
      <x:c r="C1" s="15" t="str">
        <x:v>category</x:v>
      </x:c>
      <x:c r="D1" s="15" t="str">
        <x:v>measure</x:v>
      </x:c>
      <x:c r="E1" s="15" t="str">
        <x:v>loan_product</x:v>
      </x:c>
      <x:c r="F1" s="15" t="str">
        <x:v>rate_pct</x:v>
      </x:c>
      <x:c r="G1" s="15" t="str">
        <x:v>source_url</x:v>
      </x:c>
    </x:row>
    <x:row r="2">
      <x:c r="A2" t="str">
        <x:v>2025-10</x:v>
      </x:c>
      <x:c r="B2" t="str">
        <x:v>V122667775</x:v>
      </x:c>
      <x:c r="C2" t="str">
        <x:v>Mortgages</x:v>
      </x:c>
      <x:c r="D2" t="str">
        <x:v>Funds advanced</x:v>
      </x:c>
      <x:c r="E2" t="str">
        <x:v>Residential mortgages, insured, Total</x:v>
      </x:c>
      <x:c r="F2" s="38" t="n">
        <x:v>4.21</x:v>
      </x:c>
      <x:c r="G2" s="36" t="str">
        <x:v>https://www.bankofcanada.ca/rates/banking-and-financial-statistics/interest-rates-for-new-and-existing-lending-by-chartered-banks/</x:v>
      </x:c>
    </x:row>
    <x:row r="3">
      <x:c r="A3" t="str">
        <x:v>2025-11</x:v>
      </x:c>
      <x:c r="B3" t="str">
        <x:v>V122667775</x:v>
      </x:c>
      <x:c r="C3" t="str">
        <x:v>Mortgages</x:v>
      </x:c>
      <x:c r="D3" t="str">
        <x:v>Funds advanced</x:v>
      </x:c>
      <x:c r="E3" t="str">
        <x:v>Residential mortgages, insured, Total</x:v>
      </x:c>
      <x:c r="F3" s="38" t="n">
        <x:v>4.18</x:v>
      </x:c>
      <x:c r="G3" s="36" t="str">
        <x:v>https://www.bankofcanada.ca/rates/banking-and-financial-statistics/interest-rates-for-new-and-existing-lending-by-chartered-banks/</x:v>
      </x:c>
    </x:row>
    <x:row r="4">
      <x:c r="A4" t="str">
        <x:v>2025-12</x:v>
      </x:c>
      <x:c r="B4" t="str">
        <x:v>V122667775</x:v>
      </x:c>
      <x:c r="C4" t="str">
        <x:v>Mortgages</x:v>
      </x:c>
      <x:c r="D4" t="str">
        <x:v>Funds advanced</x:v>
      </x:c>
      <x:c r="E4" t="str">
        <x:v>Residential mortgages, insured, Total</x:v>
      </x:c>
      <x:c r="F4" s="38" t="n">
        <x:v>4.16</x:v>
      </x:c>
      <x:c r="G4" s="36" t="str">
        <x:v>https://www.bankofcanada.ca/rates/banking-and-financial-statistics/interest-rates-for-new-and-existing-lending-by-chartered-banks/</x:v>
      </x:c>
    </x:row>
    <x:row r="5">
      <x:c r="A5" t="str">
        <x:v>2026-01</x:v>
      </x:c>
      <x:c r="B5" t="str">
        <x:v>V122667775</x:v>
      </x:c>
      <x:c r="C5" t="str">
        <x:v>Mortgages</x:v>
      </x:c>
      <x:c r="D5" t="str">
        <x:v>Funds advanced</x:v>
      </x:c>
      <x:c r="E5" t="str">
        <x:v>Residential mortgages, insured, Total</x:v>
      </x:c>
      <x:c r="F5" s="38" t="n">
        <x:v>4.14</x:v>
      </x:c>
      <x:c r="G5" s="36" t="str">
        <x:v>https://www.bankofcanada.ca/rates/banking-and-financial-statistics/interest-rates-for-new-and-existing-lending-by-chartered-banks/</x:v>
      </x:c>
    </x:row>
    <x:row r="6">
      <x:c r="A6" t="str">
        <x:v>2026-02</x:v>
      </x:c>
      <x:c r="B6" t="str">
        <x:v>V122667775</x:v>
      </x:c>
      <x:c r="C6" t="str">
        <x:v>Mortgages</x:v>
      </x:c>
      <x:c r="D6" t="str">
        <x:v>Funds advanced</x:v>
      </x:c>
      <x:c r="E6" t="str">
        <x:v>Residential mortgages, insured, Total</x:v>
      </x:c>
      <x:c r="F6" s="38" t="n">
        <x:v>4.13</x:v>
      </x:c>
      <x:c r="G6" s="36" t="str">
        <x:v>https://www.bankofcanada.ca/rates/banking-and-financial-statistics/interest-rates-for-new-and-existing-lending-by-chartered-banks/</x:v>
      </x:c>
    </x:row>
    <x:row r="7">
      <x:c r="A7" t="str">
        <x:v>2025-10</x:v>
      </x:c>
      <x:c r="B7" t="str">
        <x:v>V122667776</x:v>
      </x:c>
      <x:c r="C7" t="str">
        <x:v>Mortgages</x:v>
      </x:c>
      <x:c r="D7" t="str">
        <x:v>Funds advanced</x:v>
      </x:c>
      <x:c r="E7" t="str">
        <x:v>Residential mortgages, insured, variable rate</x:v>
      </x:c>
      <x:c r="F7" s="38" t="n">
        <x:v>3.85</x:v>
      </x:c>
      <x:c r="G7" s="36" t="str">
        <x:v>https://www.bankofcanada.ca/rates/banking-and-financial-statistics/interest-rates-for-new-and-existing-lending-by-chartered-banks/</x:v>
      </x:c>
    </x:row>
    <x:row r="8">
      <x:c r="A8" t="str">
        <x:v>2025-11</x:v>
      </x:c>
      <x:c r="B8" t="str">
        <x:v>V122667776</x:v>
      </x:c>
      <x:c r="C8" t="str">
        <x:v>Mortgages</x:v>
      </x:c>
      <x:c r="D8" t="str">
        <x:v>Funds advanced</x:v>
      </x:c>
      <x:c r="E8" t="str">
        <x:v>Residential mortgages, insured, variable rate</x:v>
      </x:c>
      <x:c r="F8" s="38" t="n">
        <x:v>3.79</x:v>
      </x:c>
      <x:c r="G8" s="36" t="str">
        <x:v>https://www.bankofcanada.ca/rates/banking-and-financial-statistics/interest-rates-for-new-and-existing-lending-by-chartered-banks/</x:v>
      </x:c>
    </x:row>
    <x:row r="9">
      <x:c r="A9" t="str">
        <x:v>2025-12</x:v>
      </x:c>
      <x:c r="B9" t="str">
        <x:v>V122667776</x:v>
      </x:c>
      <x:c r="C9" t="str">
        <x:v>Mortgages</x:v>
      </x:c>
      <x:c r="D9" t="str">
        <x:v>Funds advanced</x:v>
      </x:c>
      <x:c r="E9" t="str">
        <x:v>Residential mortgages, insured, variable rate</x:v>
      </x:c>
      <x:c r="F9" s="38" t="n">
        <x:v>3.8</x:v>
      </x:c>
      <x:c r="G9" s="36" t="str">
        <x:v>https://www.bankofcanada.ca/rates/banking-and-financial-statistics/interest-rates-for-new-and-existing-lending-by-chartered-banks/</x:v>
      </x:c>
    </x:row>
    <x:row r="10">
      <x:c r="A10" t="str">
        <x:v>2026-01</x:v>
      </x:c>
      <x:c r="B10" t="str">
        <x:v>V122667776</x:v>
      </x:c>
      <x:c r="C10" t="str">
        <x:v>Mortgages</x:v>
      </x:c>
      <x:c r="D10" t="str">
        <x:v>Funds advanced</x:v>
      </x:c>
      <x:c r="E10" t="str">
        <x:v>Residential mortgages, insured, variable rate</x:v>
      </x:c>
      <x:c r="F10" s="38" t="n">
        <x:v>3.8</x:v>
      </x:c>
      <x:c r="G10" s="36" t="str">
        <x:v>https://www.bankofcanada.ca/rates/banking-and-financial-statistics/interest-rates-for-new-and-existing-lending-by-chartered-banks/</x:v>
      </x:c>
    </x:row>
    <x:row r="11">
      <x:c r="A11" t="str">
        <x:v>2026-02</x:v>
      </x:c>
      <x:c r="B11" t="str">
        <x:v>V122667776</x:v>
      </x:c>
      <x:c r="C11" t="str">
        <x:v>Mortgages</x:v>
      </x:c>
      <x:c r="D11" t="str">
        <x:v>Funds advanced</x:v>
      </x:c>
      <x:c r="E11" t="str">
        <x:v>Residential mortgages, insured, variable rate</x:v>
      </x:c>
      <x:c r="F11" s="38" t="n">
        <x:v>3.77</x:v>
      </x:c>
      <x:c r="G11" s="36" t="str">
        <x:v>https://www.bankofcanada.ca/rates/banking-and-financial-statistics/interest-rates-for-new-and-existing-lending-by-chartered-banks/</x:v>
      </x:c>
    </x:row>
    <x:row r="12">
      <x:c r="A12" t="str">
        <x:v>2025-10</x:v>
      </x:c>
      <x:c r="B12" t="str">
        <x:v>V122667777</x:v>
      </x:c>
      <x:c r="C12" t="str">
        <x:v>Mortgages</x:v>
      </x:c>
      <x:c r="D12" t="str">
        <x:v>Funds advanced</x:v>
      </x:c>
      <x:c r="E12" t="str">
        <x:v>Residential mortgages, insured, fixed &lt;1 year</x:v>
      </x:c>
      <x:c r="F12" s="38" t="n">
        <x:v>8.15</x:v>
      </x:c>
      <x:c r="G12" s="36" t="str">
        <x:v>https://www.bankofcanada.ca/rates/banking-and-financial-statistics/interest-rates-for-new-and-existing-lending-by-chartered-banks/</x:v>
      </x:c>
    </x:row>
    <x:row r="13">
      <x:c r="A13" t="str">
        <x:v>2025-11</x:v>
      </x:c>
      <x:c r="B13" t="str">
        <x:v>V122667777</x:v>
      </x:c>
      <x:c r="C13" t="str">
        <x:v>Mortgages</x:v>
      </x:c>
      <x:c r="D13" t="str">
        <x:v>Funds advanced</x:v>
      </x:c>
      <x:c r="E13" t="str">
        <x:v>Residential mortgages, insured, fixed &lt;1 year</x:v>
      </x:c>
      <x:c r="F13" s="38" t="n">
        <x:v>8.01</x:v>
      </x:c>
      <x:c r="G13" s="36" t="str">
        <x:v>https://www.bankofcanada.ca/rates/banking-and-financial-statistics/interest-rates-for-new-and-existing-lending-by-chartered-banks/</x:v>
      </x:c>
    </x:row>
    <x:row r="14">
      <x:c r="A14" t="str">
        <x:v>2025-12</x:v>
      </x:c>
      <x:c r="B14" t="str">
        <x:v>V122667777</x:v>
      </x:c>
      <x:c r="C14" t="str">
        <x:v>Mortgages</x:v>
      </x:c>
      <x:c r="D14" t="str">
        <x:v>Funds advanced</x:v>
      </x:c>
      <x:c r="E14" t="str">
        <x:v>Residential mortgages, insured, fixed &lt;1 year</x:v>
      </x:c>
      <x:c r="F14" s="38" t="n">
        <x:v>7.76</x:v>
      </x:c>
      <x:c r="G14" s="36" t="str">
        <x:v>https://www.bankofcanada.ca/rates/banking-and-financial-statistics/interest-rates-for-new-and-existing-lending-by-chartered-banks/</x:v>
      </x:c>
    </x:row>
    <x:row r="15">
      <x:c r="A15" t="str">
        <x:v>2026-01</x:v>
      </x:c>
      <x:c r="B15" t="str">
        <x:v>V122667777</x:v>
      </x:c>
      <x:c r="C15" t="str">
        <x:v>Mortgages</x:v>
      </x:c>
      <x:c r="D15" t="str">
        <x:v>Funds advanced</x:v>
      </x:c>
      <x:c r="E15" t="str">
        <x:v>Residential mortgages, insured, fixed &lt;1 year</x:v>
      </x:c>
      <x:c r="F15" s="38" t="n">
        <x:v>7.7</x:v>
      </x:c>
      <x:c r="G15" s="36" t="str">
        <x:v>https://www.bankofcanada.ca/rates/banking-and-financial-statistics/interest-rates-for-new-and-existing-lending-by-chartered-banks/</x:v>
      </x:c>
    </x:row>
    <x:row r="16">
      <x:c r="A16" t="str">
        <x:v>2026-02</x:v>
      </x:c>
      <x:c r="B16" t="str">
        <x:v>V122667777</x:v>
      </x:c>
      <x:c r="C16" t="str">
        <x:v>Mortgages</x:v>
      </x:c>
      <x:c r="D16" t="str">
        <x:v>Funds advanced</x:v>
      </x:c>
      <x:c r="E16" t="str">
        <x:v>Residential mortgages, insured, fixed &lt;1 year</x:v>
      </x:c>
      <x:c r="F16" s="38" t="n">
        <x:v>8.03</x:v>
      </x:c>
      <x:c r="G16" s="36" t="str">
        <x:v>https://www.bankofcanada.ca/rates/banking-and-financial-statistics/interest-rates-for-new-and-existing-lending-by-chartered-banks/</x:v>
      </x:c>
    </x:row>
    <x:row r="17">
      <x:c r="A17" t="str">
        <x:v>2025-10</x:v>
      </x:c>
      <x:c r="B17" t="str">
        <x:v>V122667778</x:v>
      </x:c>
      <x:c r="C17" t="str">
        <x:v>Mortgages</x:v>
      </x:c>
      <x:c r="D17" t="str">
        <x:v>Funds advanced</x:v>
      </x:c>
      <x:c r="E17" t="str">
        <x:v>Residential mortgages, insured, fixed 1 to &lt;3 years</x:v>
      </x:c>
      <x:c r="F17" s="38" t="n">
        <x:v>5.16</x:v>
      </x:c>
      <x:c r="G17" s="36" t="str">
        <x:v>https://www.bankofcanada.ca/rates/banking-and-financial-statistics/interest-rates-for-new-and-existing-lending-by-chartered-banks/</x:v>
      </x:c>
    </x:row>
    <x:row r="18">
      <x:c r="A18" t="str">
        <x:v>2025-11</x:v>
      </x:c>
      <x:c r="B18" t="str">
        <x:v>V122667778</x:v>
      </x:c>
      <x:c r="C18" t="str">
        <x:v>Mortgages</x:v>
      </x:c>
      <x:c r="D18" t="str">
        <x:v>Funds advanced</x:v>
      </x:c>
      <x:c r="E18" t="str">
        <x:v>Residential mortgages, insured, fixed 1 to &lt;3 years</x:v>
      </x:c>
      <x:c r="F18" s="38" t="n">
        <x:v>5.32</x:v>
      </x:c>
      <x:c r="G18" s="36" t="str">
        <x:v>https://www.bankofcanada.ca/rates/banking-and-financial-statistics/interest-rates-for-new-and-existing-lending-by-chartered-banks/</x:v>
      </x:c>
    </x:row>
    <x:row r="19">
      <x:c r="A19" t="str">
        <x:v>2025-12</x:v>
      </x:c>
      <x:c r="B19" t="str">
        <x:v>V122667778</x:v>
      </x:c>
      <x:c r="C19" t="str">
        <x:v>Mortgages</x:v>
      </x:c>
      <x:c r="D19" t="str">
        <x:v>Funds advanced</x:v>
      </x:c>
      <x:c r="E19" t="str">
        <x:v>Residential mortgages, insured, fixed 1 to &lt;3 years</x:v>
      </x:c>
      <x:c r="F19" s="38" t="n">
        <x:v>5.27</x:v>
      </x:c>
      <x:c r="G19" s="36" t="str">
        <x:v>https://www.bankofcanada.ca/rates/banking-and-financial-statistics/interest-rates-for-new-and-existing-lending-by-chartered-banks/</x:v>
      </x:c>
    </x:row>
    <x:row r="20">
      <x:c r="A20" t="str">
        <x:v>2026-01</x:v>
      </x:c>
      <x:c r="B20" t="str">
        <x:v>V122667778</x:v>
      </x:c>
      <x:c r="C20" t="str">
        <x:v>Mortgages</x:v>
      </x:c>
      <x:c r="D20" t="str">
        <x:v>Funds advanced</x:v>
      </x:c>
      <x:c r="E20" t="str">
        <x:v>Residential mortgages, insured, fixed 1 to &lt;3 years</x:v>
      </x:c>
      <x:c r="F20" s="38" t="n">
        <x:v>5.23</x:v>
      </x:c>
      <x:c r="G20" s="36" t="str">
        <x:v>https://www.bankofcanada.ca/rates/banking-and-financial-statistics/interest-rates-for-new-and-existing-lending-by-chartered-banks/</x:v>
      </x:c>
    </x:row>
    <x:row r="21">
      <x:c r="A21" t="str">
        <x:v>2026-02</x:v>
      </x:c>
      <x:c r="B21" t="str">
        <x:v>V122667778</x:v>
      </x:c>
      <x:c r="C21" t="str">
        <x:v>Mortgages</x:v>
      </x:c>
      <x:c r="D21" t="str">
        <x:v>Funds advanced</x:v>
      </x:c>
      <x:c r="E21" t="str">
        <x:v>Residential mortgages, insured, fixed 1 to &lt;3 years</x:v>
      </x:c>
      <x:c r="F21" s="38" t="n">
        <x:v>5.29</x:v>
      </x:c>
      <x:c r="G21" s="36" t="str">
        <x:v>https://www.bankofcanada.ca/rates/banking-and-financial-statistics/interest-rates-for-new-and-existing-lending-by-chartered-banks/</x:v>
      </x:c>
    </x:row>
    <x:row r="22">
      <x:c r="A22" t="str">
        <x:v>2025-10</x:v>
      </x:c>
      <x:c r="B22" t="str">
        <x:v>V122667779</x:v>
      </x:c>
      <x:c r="C22" t="str">
        <x:v>Mortgages</x:v>
      </x:c>
      <x:c r="D22" t="str">
        <x:v>Funds advanced</x:v>
      </x:c>
      <x:c r="E22" t="str">
        <x:v>Residential mortgages, insured, fixed 3 to &lt;5 years</x:v>
      </x:c>
      <x:c r="F22" s="38" t="n">
        <x:v>3.9</x:v>
      </x:c>
      <x:c r="G22" s="36" t="str">
        <x:v>https://www.bankofcanada.ca/rates/banking-and-financial-statistics/interest-rates-for-new-and-existing-lending-by-chartered-banks/</x:v>
      </x:c>
    </x:row>
    <x:row r="23">
      <x:c r="A23" t="str">
        <x:v>2025-11</x:v>
      </x:c>
      <x:c r="B23" t="str">
        <x:v>V122667779</x:v>
      </x:c>
      <x:c r="C23" t="str">
        <x:v>Mortgages</x:v>
      </x:c>
      <x:c r="D23" t="str">
        <x:v>Funds advanced</x:v>
      </x:c>
      <x:c r="E23" t="str">
        <x:v>Residential mortgages, insured, fixed 3 to &lt;5 years</x:v>
      </x:c>
      <x:c r="F23" s="38" t="n">
        <x:v>3.87</x:v>
      </x:c>
      <x:c r="G23" s="36" t="str">
        <x:v>https://www.bankofcanada.ca/rates/banking-and-financial-statistics/interest-rates-for-new-and-existing-lending-by-chartered-banks/</x:v>
      </x:c>
    </x:row>
    <x:row r="24">
      <x:c r="A24" t="str">
        <x:v>2025-12</x:v>
      </x:c>
      <x:c r="B24" t="str">
        <x:v>V122667779</x:v>
      </x:c>
      <x:c r="C24" t="str">
        <x:v>Mortgages</x:v>
      </x:c>
      <x:c r="D24" t="str">
        <x:v>Funds advanced</x:v>
      </x:c>
      <x:c r="E24" t="str">
        <x:v>Residential mortgages, insured, fixed 3 to &lt;5 years</x:v>
      </x:c>
      <x:c r="F24" s="38" t="n">
        <x:v>3.86</x:v>
      </x:c>
      <x:c r="G24" s="36" t="str">
        <x:v>https://www.bankofcanada.ca/rates/banking-and-financial-statistics/interest-rates-for-new-and-existing-lending-by-chartered-banks/</x:v>
      </x:c>
    </x:row>
    <x:row r="25">
      <x:c r="A25" t="str">
        <x:v>2026-01</x:v>
      </x:c>
      <x:c r="B25" t="str">
        <x:v>V122667779</x:v>
      </x:c>
      <x:c r="C25" t="str">
        <x:v>Mortgages</x:v>
      </x:c>
      <x:c r="D25" t="str">
        <x:v>Funds advanced</x:v>
      </x:c>
      <x:c r="E25" t="str">
        <x:v>Residential mortgages, insured, fixed 3 to &lt;5 years</x:v>
      </x:c>
      <x:c r="F25" s="38" t="n">
        <x:v>3.88</x:v>
      </x:c>
      <x:c r="G25" s="36" t="str">
        <x:v>https://www.bankofcanada.ca/rates/banking-and-financial-statistics/interest-rates-for-new-and-existing-lending-by-chartered-banks/</x:v>
      </x:c>
    </x:row>
    <x:row r="26">
      <x:c r="A26" t="str">
        <x:v>2026-02</x:v>
      </x:c>
      <x:c r="B26" t="str">
        <x:v>V122667779</x:v>
      </x:c>
      <x:c r="C26" t="str">
        <x:v>Mortgages</x:v>
      </x:c>
      <x:c r="D26" t="str">
        <x:v>Funds advanced</x:v>
      </x:c>
      <x:c r="E26" t="str">
        <x:v>Residential mortgages, insured, fixed 3 to &lt;5 years</x:v>
      </x:c>
      <x:c r="F26" s="38" t="n">
        <x:v>3.89</x:v>
      </x:c>
      <x:c r="G26" s="36" t="str">
        <x:v>https://www.bankofcanada.ca/rates/banking-and-financial-statistics/interest-rates-for-new-and-existing-lending-by-chartered-banks/</x:v>
      </x:c>
    </x:row>
    <x:row r="27">
      <x:c r="A27" t="str">
        <x:v>2025-10</x:v>
      </x:c>
      <x:c r="B27" t="str">
        <x:v>V122667780</x:v>
      </x:c>
      <x:c r="C27" t="str">
        <x:v>Mortgages</x:v>
      </x:c>
      <x:c r="D27" t="str">
        <x:v>Funds advanced</x:v>
      </x:c>
      <x:c r="E27" t="str">
        <x:v>Residential mortgages, insured, fixed 5 years and over</x:v>
      </x:c>
      <x:c r="F27" s="38" t="n">
        <x:v>3.97</x:v>
      </x:c>
      <x:c r="G27" s="36" t="str">
        <x:v>https://www.bankofcanada.ca/rates/banking-and-financial-statistics/interest-rates-for-new-and-existing-lending-by-chartered-banks/</x:v>
      </x:c>
    </x:row>
    <x:row r="28">
      <x:c r="A28" t="str">
        <x:v>2025-11</x:v>
      </x:c>
      <x:c r="B28" t="str">
        <x:v>V122667780</x:v>
      </x:c>
      <x:c r="C28" t="str">
        <x:v>Mortgages</x:v>
      </x:c>
      <x:c r="D28" t="str">
        <x:v>Funds advanced</x:v>
      </x:c>
      <x:c r="E28" t="str">
        <x:v>Residential mortgages, insured, fixed 5 years and over</x:v>
      </x:c>
      <x:c r="F28" s="38" t="n">
        <x:v>3.94</x:v>
      </x:c>
      <x:c r="G28" s="36" t="str">
        <x:v>https://www.bankofcanada.ca/rates/banking-and-financial-statistics/interest-rates-for-new-and-existing-lending-by-chartered-banks/</x:v>
      </x:c>
    </x:row>
    <x:row r="29">
      <x:c r="A29" t="str">
        <x:v>2025-12</x:v>
      </x:c>
      <x:c r="B29" t="str">
        <x:v>V122667780</x:v>
      </x:c>
      <x:c r="C29" t="str">
        <x:v>Mortgages</x:v>
      </x:c>
      <x:c r="D29" t="str">
        <x:v>Funds advanced</x:v>
      </x:c>
      <x:c r="E29" t="str">
        <x:v>Residential mortgages, insured, fixed 5 years and over</x:v>
      </x:c>
      <x:c r="F29" s="38" t="n">
        <x:v>3.97</x:v>
      </x:c>
      <x:c r="G29" s="36" t="str">
        <x:v>https://www.bankofcanada.ca/rates/banking-and-financial-statistics/interest-rates-for-new-and-existing-lending-by-chartered-banks/</x:v>
      </x:c>
    </x:row>
    <x:row r="30">
      <x:c r="A30" t="str">
        <x:v>2026-01</x:v>
      </x:c>
      <x:c r="B30" t="str">
        <x:v>V122667780</x:v>
      </x:c>
      <x:c r="C30" t="str">
        <x:v>Mortgages</x:v>
      </x:c>
      <x:c r="D30" t="str">
        <x:v>Funds advanced</x:v>
      </x:c>
      <x:c r="E30" t="str">
        <x:v>Residential mortgages, insured, fixed 5 years and over</x:v>
      </x:c>
      <x:c r="F30" s="38" t="n">
        <x:v>3.94</x:v>
      </x:c>
      <x:c r="G30" s="36" t="str">
        <x:v>https://www.bankofcanada.ca/rates/banking-and-financial-statistics/interest-rates-for-new-and-existing-lending-by-chartered-banks/</x:v>
      </x:c>
    </x:row>
    <x:row r="31">
      <x:c r="A31" t="str">
        <x:v>2026-02</x:v>
      </x:c>
      <x:c r="B31" t="str">
        <x:v>V122667780</x:v>
      </x:c>
      <x:c r="C31" t="str">
        <x:v>Mortgages</x:v>
      </x:c>
      <x:c r="D31" t="str">
        <x:v>Funds advanced</x:v>
      </x:c>
      <x:c r="E31" t="str">
        <x:v>Residential mortgages, insured, fixed 5 years and over</x:v>
      </x:c>
      <x:c r="F31" s="38" t="n">
        <x:v>3.89</x:v>
      </x:c>
      <x:c r="G31" s="36" t="str">
        <x:v>https://www.bankofcanada.ca/rates/banking-and-financial-statistics/interest-rates-for-new-and-existing-lending-by-chartered-banks/</x:v>
      </x:c>
    </x:row>
    <x:row r="32">
      <x:c r="A32" t="str">
        <x:v>2025-10</x:v>
      </x:c>
      <x:c r="B32" t="str">
        <x:v>V122667781</x:v>
      </x:c>
      <x:c r="C32" t="str">
        <x:v>Mortgages</x:v>
      </x:c>
      <x:c r="D32" t="str">
        <x:v>Funds advanced</x:v>
      </x:c>
      <x:c r="E32" t="str">
        <x:v>Residential mortgages, uninsured, Total</x:v>
      </x:c>
      <x:c r="F32" s="38" t="n">
        <x:v>4.37</x:v>
      </x:c>
      <x:c r="G32" s="36" t="str">
        <x:v>https://www.bankofcanada.ca/rates/banking-and-financial-statistics/interest-rates-for-new-and-existing-lending-by-chartered-banks/</x:v>
      </x:c>
    </x:row>
    <x:row r="33">
      <x:c r="A33" t="str">
        <x:v>2025-11</x:v>
      </x:c>
      <x:c r="B33" t="str">
        <x:v>V122667781</x:v>
      </x:c>
      <x:c r="C33" t="str">
        <x:v>Mortgages</x:v>
      </x:c>
      <x:c r="D33" t="str">
        <x:v>Funds advanced</x:v>
      </x:c>
      <x:c r="E33" t="str">
        <x:v>Residential mortgages, uninsured, Total</x:v>
      </x:c>
      <x:c r="F33" s="38" t="n">
        <x:v>4.3</x:v>
      </x:c>
      <x:c r="G33" s="36" t="str">
        <x:v>https://www.bankofcanada.ca/rates/banking-and-financial-statistics/interest-rates-for-new-and-existing-lending-by-chartered-banks/</x:v>
      </x:c>
    </x:row>
    <x:row r="34">
      <x:c r="A34" t="str">
        <x:v>2025-12</x:v>
      </x:c>
      <x:c r="B34" t="str">
        <x:v>V122667781</x:v>
      </x:c>
      <x:c r="C34" t="str">
        <x:v>Mortgages</x:v>
      </x:c>
      <x:c r="D34" t="str">
        <x:v>Funds advanced</x:v>
      </x:c>
      <x:c r="E34" t="str">
        <x:v>Residential mortgages, uninsured, Total</x:v>
      </x:c>
      <x:c r="F34" s="38" t="n">
        <x:v>4.28</x:v>
      </x:c>
      <x:c r="G34" s="36" t="str">
        <x:v>https://www.bankofcanada.ca/rates/banking-and-financial-statistics/interest-rates-for-new-and-existing-lending-by-chartered-banks/</x:v>
      </x:c>
    </x:row>
    <x:row r="35">
      <x:c r="A35" t="str">
        <x:v>2026-01</x:v>
      </x:c>
      <x:c r="B35" t="str">
        <x:v>V122667781</x:v>
      </x:c>
      <x:c r="C35" t="str">
        <x:v>Mortgages</x:v>
      </x:c>
      <x:c r="D35" t="str">
        <x:v>Funds advanced</x:v>
      </x:c>
      <x:c r="E35" t="str">
        <x:v>Residential mortgages, uninsured, Total</x:v>
      </x:c>
      <x:c r="F35" s="38" t="n">
        <x:v>4.25</x:v>
      </x:c>
      <x:c r="G35" s="36" t="str">
        <x:v>https://www.bankofcanada.ca/rates/banking-and-financial-statistics/interest-rates-for-new-and-existing-lending-by-chartered-banks/</x:v>
      </x:c>
    </x:row>
    <x:row r="36">
      <x:c r="A36" t="str">
        <x:v>2026-02</x:v>
      </x:c>
      <x:c r="B36" t="str">
        <x:v>V122667781</x:v>
      </x:c>
      <x:c r="C36" t="str">
        <x:v>Mortgages</x:v>
      </x:c>
      <x:c r="D36" t="str">
        <x:v>Funds advanced</x:v>
      </x:c>
      <x:c r="E36" t="str">
        <x:v>Residential mortgages, uninsured, Total</x:v>
      </x:c>
      <x:c r="F36" s="38" t="n">
        <x:v>4.22</x:v>
      </x:c>
      <x:c r="G36" s="36" t="str">
        <x:v>https://www.bankofcanada.ca/rates/banking-and-financial-statistics/interest-rates-for-new-and-existing-lending-by-chartered-banks/</x:v>
      </x:c>
    </x:row>
    <x:row r="37">
      <x:c r="A37" t="str">
        <x:v>2025-10</x:v>
      </x:c>
      <x:c r="B37" t="str">
        <x:v>V122667782</x:v>
      </x:c>
      <x:c r="C37" t="str">
        <x:v>Mortgages</x:v>
      </x:c>
      <x:c r="D37" t="str">
        <x:v>Funds advanced</x:v>
      </x:c>
      <x:c r="E37" t="str">
        <x:v>Residential mortgages, uninsured, variable rate</x:v>
      </x:c>
      <x:c r="F37" s="38" t="n">
        <x:v>3.97</x:v>
      </x:c>
      <x:c r="G37" s="36" t="str">
        <x:v>https://www.bankofcanada.ca/rates/banking-and-financial-statistics/interest-rates-for-new-and-existing-lending-by-chartered-banks/</x:v>
      </x:c>
    </x:row>
    <x:row r="38">
      <x:c r="A38" t="str">
        <x:v>2025-11</x:v>
      </x:c>
      <x:c r="B38" t="str">
        <x:v>V122667782</x:v>
      </x:c>
      <x:c r="C38" t="str">
        <x:v>Mortgages</x:v>
      </x:c>
      <x:c r="D38" t="str">
        <x:v>Funds advanced</x:v>
      </x:c>
      <x:c r="E38" t="str">
        <x:v>Residential mortgages, uninsured, variable rate</x:v>
      </x:c>
      <x:c r="F38" s="38" t="n">
        <x:v>3.88</x:v>
      </x:c>
      <x:c r="G38" s="36" t="str">
        <x:v>https://www.bankofcanada.ca/rates/banking-and-financial-statistics/interest-rates-for-new-and-existing-lending-by-chartered-banks/</x:v>
      </x:c>
    </x:row>
    <x:row r="39">
      <x:c r="A39" t="str">
        <x:v>2025-12</x:v>
      </x:c>
      <x:c r="B39" t="str">
        <x:v>V122667782</x:v>
      </x:c>
      <x:c r="C39" t="str">
        <x:v>Mortgages</x:v>
      </x:c>
      <x:c r="D39" t="str">
        <x:v>Funds advanced</x:v>
      </x:c>
      <x:c r="E39" t="str">
        <x:v>Residential mortgages, uninsured, variable rate</x:v>
      </x:c>
      <x:c r="F39" s="38" t="n">
        <x:v>3.88</x:v>
      </x:c>
      <x:c r="G39" s="36" t="str">
        <x:v>https://www.bankofcanada.ca/rates/banking-and-financial-statistics/interest-rates-for-new-and-existing-lending-by-chartered-banks/</x:v>
      </x:c>
    </x:row>
    <x:row r="40">
      <x:c r="A40" t="str">
        <x:v>2026-01</x:v>
      </x:c>
      <x:c r="B40" t="str">
        <x:v>V122667782</x:v>
      </x:c>
      <x:c r="C40" t="str">
        <x:v>Mortgages</x:v>
      </x:c>
      <x:c r="D40" t="str">
        <x:v>Funds advanced</x:v>
      </x:c>
      <x:c r="E40" t="str">
        <x:v>Residential mortgages, uninsured, variable rate</x:v>
      </x:c>
      <x:c r="F40" s="38" t="n">
        <x:v>3.86</x:v>
      </x:c>
      <x:c r="G40" s="36" t="str">
        <x:v>https://www.bankofcanada.ca/rates/banking-and-financial-statistics/interest-rates-for-new-and-existing-lending-by-chartered-banks/</x:v>
      </x:c>
    </x:row>
    <x:row r="41">
      <x:c r="A41" t="str">
        <x:v>2026-02</x:v>
      </x:c>
      <x:c r="B41" t="str">
        <x:v>V122667782</x:v>
      </x:c>
      <x:c r="C41" t="str">
        <x:v>Mortgages</x:v>
      </x:c>
      <x:c r="D41" t="str">
        <x:v>Funds advanced</x:v>
      </x:c>
      <x:c r="E41" t="str">
        <x:v>Residential mortgages, uninsured, variable rate</x:v>
      </x:c>
      <x:c r="F41" s="38" t="n">
        <x:v>3.84</x:v>
      </x:c>
      <x:c r="G41" s="36" t="str">
        <x:v>https://www.bankofcanada.ca/rates/banking-and-financial-statistics/interest-rates-for-new-and-existing-lending-by-chartered-banks/</x:v>
      </x:c>
    </x:row>
    <x:row r="42">
      <x:c r="A42" t="str">
        <x:v>2025-10</x:v>
      </x:c>
      <x:c r="B42" t="str">
        <x:v>V122667783</x:v>
      </x:c>
      <x:c r="C42" t="str">
        <x:v>Mortgages</x:v>
      </x:c>
      <x:c r="D42" t="str">
        <x:v>Funds advanced</x:v>
      </x:c>
      <x:c r="E42" t="str">
        <x:v>Residential mortgages, uninsured, fixed &lt;1 year</x:v>
      </x:c>
      <x:c r="F42" s="38" t="n">
        <x:v>7.8</x:v>
      </x:c>
      <x:c r="G42" s="36" t="str">
        <x:v>https://www.bankofcanada.ca/rates/banking-and-financial-statistics/interest-rates-for-new-and-existing-lending-by-chartered-banks/</x:v>
      </x:c>
    </x:row>
    <x:row r="43">
      <x:c r="A43" t="str">
        <x:v>2025-11</x:v>
      </x:c>
      <x:c r="B43" t="str">
        <x:v>V122667783</x:v>
      </x:c>
      <x:c r="C43" t="str">
        <x:v>Mortgages</x:v>
      </x:c>
      <x:c r="D43" t="str">
        <x:v>Funds advanced</x:v>
      </x:c>
      <x:c r="E43" t="str">
        <x:v>Residential mortgages, uninsured, fixed &lt;1 year</x:v>
      </x:c>
      <x:c r="F43" s="38" t="n">
        <x:v>7.67</x:v>
      </x:c>
      <x:c r="G43" s="36" t="str">
        <x:v>https://www.bankofcanada.ca/rates/banking-and-financial-statistics/interest-rates-for-new-and-existing-lending-by-chartered-banks/</x:v>
      </x:c>
    </x:row>
    <x:row r="44">
      <x:c r="A44" t="str">
        <x:v>2025-12</x:v>
      </x:c>
      <x:c r="B44" t="str">
        <x:v>V122667783</x:v>
      </x:c>
      <x:c r="C44" t="str">
        <x:v>Mortgages</x:v>
      </x:c>
      <x:c r="D44" t="str">
        <x:v>Funds advanced</x:v>
      </x:c>
      <x:c r="E44" t="str">
        <x:v>Residential mortgages, uninsured, fixed &lt;1 year</x:v>
      </x:c>
      <x:c r="F44" s="38" t="n">
        <x:v>7.7</x:v>
      </x:c>
      <x:c r="G44" s="36" t="str">
        <x:v>https://www.bankofcanada.ca/rates/banking-and-financial-statistics/interest-rates-for-new-and-existing-lending-by-chartered-banks/</x:v>
      </x:c>
    </x:row>
    <x:row r="45">
      <x:c r="A45" t="str">
        <x:v>2026-01</x:v>
      </x:c>
      <x:c r="B45" t="str">
        <x:v>V122667783</x:v>
      </x:c>
      <x:c r="C45" t="str">
        <x:v>Mortgages</x:v>
      </x:c>
      <x:c r="D45" t="str">
        <x:v>Funds advanced</x:v>
      </x:c>
      <x:c r="E45" t="str">
        <x:v>Residential mortgages, uninsured, fixed &lt;1 year</x:v>
      </x:c>
      <x:c r="F45" s="38" t="n">
        <x:v>7.43</x:v>
      </x:c>
      <x:c r="G45" s="36" t="str">
        <x:v>https://www.bankofcanada.ca/rates/banking-and-financial-statistics/interest-rates-for-new-and-existing-lending-by-chartered-banks/</x:v>
      </x:c>
    </x:row>
    <x:row r="46">
      <x:c r="A46" t="str">
        <x:v>2026-02</x:v>
      </x:c>
      <x:c r="B46" t="str">
        <x:v>V122667783</x:v>
      </x:c>
      <x:c r="C46" t="str">
        <x:v>Mortgages</x:v>
      </x:c>
      <x:c r="D46" t="str">
        <x:v>Funds advanced</x:v>
      </x:c>
      <x:c r="E46" t="str">
        <x:v>Residential mortgages, uninsured, fixed &lt;1 year</x:v>
      </x:c>
      <x:c r="F46" s="38" t="n">
        <x:v>7.98</x:v>
      </x:c>
      <x:c r="G46" s="36" t="str">
        <x:v>https://www.bankofcanada.ca/rates/banking-and-financial-statistics/interest-rates-for-new-and-existing-lending-by-chartered-banks/</x:v>
      </x:c>
    </x:row>
    <x:row r="47">
      <x:c r="A47" t="str">
        <x:v>2025-10</x:v>
      </x:c>
      <x:c r="B47" t="str">
        <x:v>V122667784</x:v>
      </x:c>
      <x:c r="C47" t="str">
        <x:v>Mortgages</x:v>
      </x:c>
      <x:c r="D47" t="str">
        <x:v>Funds advanced</x:v>
      </x:c>
      <x:c r="E47" t="str">
        <x:v>Residential mortgages, uninsured, fixed 1 to &lt;3 years</x:v>
      </x:c>
      <x:c r="F47" s="38" t="n">
        <x:v>5.37</x:v>
      </x:c>
      <x:c r="G47" s="36" t="str">
        <x:v>https://www.bankofcanada.ca/rates/banking-and-financial-statistics/interest-rates-for-new-and-existing-lending-by-chartered-banks/</x:v>
      </x:c>
    </x:row>
    <x:row r="48">
      <x:c r="A48" t="str">
        <x:v>2025-11</x:v>
      </x:c>
      <x:c r="B48" t="str">
        <x:v>V122667784</x:v>
      </x:c>
      <x:c r="C48" t="str">
        <x:v>Mortgages</x:v>
      </x:c>
      <x:c r="D48" t="str">
        <x:v>Funds advanced</x:v>
      </x:c>
      <x:c r="E48" t="str">
        <x:v>Residential mortgages, uninsured, fixed 1 to &lt;3 years</x:v>
      </x:c>
      <x:c r="F48" s="38" t="n">
        <x:v>5.5</x:v>
      </x:c>
      <x:c r="G48" s="36" t="str">
        <x:v>https://www.bankofcanada.ca/rates/banking-and-financial-statistics/interest-rates-for-new-and-existing-lending-by-chartered-banks/</x:v>
      </x:c>
    </x:row>
    <x:row r="49">
      <x:c r="A49" t="str">
        <x:v>2025-12</x:v>
      </x:c>
      <x:c r="B49" t="str">
        <x:v>V122667784</x:v>
      </x:c>
      <x:c r="C49" t="str">
        <x:v>Mortgages</x:v>
      </x:c>
      <x:c r="D49" t="str">
        <x:v>Funds advanced</x:v>
      </x:c>
      <x:c r="E49" t="str">
        <x:v>Residential mortgages, uninsured, fixed 1 to &lt;3 years</x:v>
      </x:c>
      <x:c r="F49" s="38" t="n">
        <x:v>5.5</x:v>
      </x:c>
      <x:c r="G49" s="36" t="str">
        <x:v>https://www.bankofcanada.ca/rates/banking-and-financial-statistics/interest-rates-for-new-and-existing-lending-by-chartered-banks/</x:v>
      </x:c>
    </x:row>
    <x:row r="50">
      <x:c r="A50" t="str">
        <x:v>2026-01</x:v>
      </x:c>
      <x:c r="B50" t="str">
        <x:v>V122667784</x:v>
      </x:c>
      <x:c r="C50" t="str">
        <x:v>Mortgages</x:v>
      </x:c>
      <x:c r="D50" t="str">
        <x:v>Funds advanced</x:v>
      </x:c>
      <x:c r="E50" t="str">
        <x:v>Residential mortgages, uninsured, fixed 1 to &lt;3 years</x:v>
      </x:c>
      <x:c r="F50" s="38" t="n">
        <x:v>5.48</x:v>
      </x:c>
      <x:c r="G50" s="36" t="str">
        <x:v>https://www.bankofcanada.ca/rates/banking-and-financial-statistics/interest-rates-for-new-and-existing-lending-by-chartered-banks/</x:v>
      </x:c>
    </x:row>
    <x:row r="51">
      <x:c r="A51" t="str">
        <x:v>2026-02</x:v>
      </x:c>
      <x:c r="B51" t="str">
        <x:v>V122667784</x:v>
      </x:c>
      <x:c r="C51" t="str">
        <x:v>Mortgages</x:v>
      </x:c>
      <x:c r="D51" t="str">
        <x:v>Funds advanced</x:v>
      </x:c>
      <x:c r="E51" t="str">
        <x:v>Residential mortgages, uninsured, fixed 1 to &lt;3 years</x:v>
      </x:c>
      <x:c r="F51" s="38" t="n">
        <x:v>5.54</x:v>
      </x:c>
      <x:c r="G51" s="36" t="str">
        <x:v>https://www.bankofcanada.ca/rates/banking-and-financial-statistics/interest-rates-for-new-and-existing-lending-by-chartered-banks/</x:v>
      </x:c>
    </x:row>
    <x:row r="52">
      <x:c r="A52" t="str">
        <x:v>2025-10</x:v>
      </x:c>
      <x:c r="B52" t="str">
        <x:v>V122667785</x:v>
      </x:c>
      <x:c r="C52" t="str">
        <x:v>Mortgages</x:v>
      </x:c>
      <x:c r="D52" t="str">
        <x:v>Funds advanced</x:v>
      </x:c>
      <x:c r="E52" t="str">
        <x:v>Residential mortgages, uninsured, fixed 3 to &lt;5 years</x:v>
      </x:c>
      <x:c r="F52" s="38" t="n">
        <x:v>4.07</x:v>
      </x:c>
      <x:c r="G52" s="36" t="str">
        <x:v>https://www.bankofcanada.ca/rates/banking-and-financial-statistics/interest-rates-for-new-and-existing-lending-by-chartered-banks/</x:v>
      </x:c>
    </x:row>
    <x:row r="53">
      <x:c r="A53" t="str">
        <x:v>2025-11</x:v>
      </x:c>
      <x:c r="B53" t="str">
        <x:v>V122667785</x:v>
      </x:c>
      <x:c r="C53" t="str">
        <x:v>Mortgages</x:v>
      </x:c>
      <x:c r="D53" t="str">
        <x:v>Funds advanced</x:v>
      </x:c>
      <x:c r="E53" t="str">
        <x:v>Residential mortgages, uninsured, fixed 3 to &lt;5 years</x:v>
      </x:c>
      <x:c r="F53" s="38" t="n">
        <x:v>4.04</x:v>
      </x:c>
      <x:c r="G53" s="36" t="str">
        <x:v>https://www.bankofcanada.ca/rates/banking-and-financial-statistics/interest-rates-for-new-and-existing-lending-by-chartered-banks/</x:v>
      </x:c>
    </x:row>
    <x:row r="54">
      <x:c r="A54" t="str">
        <x:v>2025-12</x:v>
      </x:c>
      <x:c r="B54" t="str">
        <x:v>V122667785</x:v>
      </x:c>
      <x:c r="C54" t="str">
        <x:v>Mortgages</x:v>
      </x:c>
      <x:c r="D54" t="str">
        <x:v>Funds advanced</x:v>
      </x:c>
      <x:c r="E54" t="str">
        <x:v>Residential mortgages, uninsured, fixed 3 to &lt;5 years</x:v>
      </x:c>
      <x:c r="F54" s="38" t="n">
        <x:v>4.02</x:v>
      </x:c>
      <x:c r="G54" s="36" t="str">
        <x:v>https://www.bankofcanada.ca/rates/banking-and-financial-statistics/interest-rates-for-new-and-existing-lending-by-chartered-banks/</x:v>
      </x:c>
    </x:row>
    <x:row r="55">
      <x:c r="A55" t="str">
        <x:v>2026-01</x:v>
      </x:c>
      <x:c r="B55" t="str">
        <x:v>V122667785</x:v>
      </x:c>
      <x:c r="C55" t="str">
        <x:v>Mortgages</x:v>
      </x:c>
      <x:c r="D55" t="str">
        <x:v>Funds advanced</x:v>
      </x:c>
      <x:c r="E55" t="str">
        <x:v>Residential mortgages, uninsured, fixed 3 to &lt;5 years</x:v>
      </x:c>
      <x:c r="F55" s="38" t="n">
        <x:v>4.01</x:v>
      </x:c>
      <x:c r="G55" s="36" t="str">
        <x:v>https://www.bankofcanada.ca/rates/banking-and-financial-statistics/interest-rates-for-new-and-existing-lending-by-chartered-banks/</x:v>
      </x:c>
    </x:row>
    <x:row r="56">
      <x:c r="A56" t="str">
        <x:v>2026-02</x:v>
      </x:c>
      <x:c r="B56" t="str">
        <x:v>V122667785</x:v>
      </x:c>
      <x:c r="C56" t="str">
        <x:v>Mortgages</x:v>
      </x:c>
      <x:c r="D56" t="str">
        <x:v>Funds advanced</x:v>
      </x:c>
      <x:c r="E56" t="str">
        <x:v>Residential mortgages, uninsured, fixed 3 to &lt;5 years</x:v>
      </x:c>
      <x:c r="F56" s="38" t="n">
        <x:v>3.99</x:v>
      </x:c>
      <x:c r="G56" s="36" t="str">
        <x:v>https://www.bankofcanada.ca/rates/banking-and-financial-statistics/interest-rates-for-new-and-existing-lending-by-chartered-banks/</x:v>
      </x:c>
    </x:row>
    <x:row r="57">
      <x:c r="A57" t="str">
        <x:v>2025-10</x:v>
      </x:c>
      <x:c r="B57" t="str">
        <x:v>V122667786</x:v>
      </x:c>
      <x:c r="C57" t="str">
        <x:v>Mortgages</x:v>
      </x:c>
      <x:c r="D57" t="str">
        <x:v>Funds advanced</x:v>
      </x:c>
      <x:c r="E57" t="str">
        <x:v>Residential mortgages, uninsured, fixed 5 years and over</x:v>
      </x:c>
      <x:c r="F57" s="38" t="n">
        <x:v>4.4</x:v>
      </x:c>
      <x:c r="G57" s="36" t="str">
        <x:v>https://www.bankofcanada.ca/rates/banking-and-financial-statistics/interest-rates-for-new-and-existing-lending-by-chartered-banks/</x:v>
      </x:c>
    </x:row>
    <x:row r="58">
      <x:c r="A58" t="str">
        <x:v>2025-11</x:v>
      </x:c>
      <x:c r="B58" t="str">
        <x:v>V122667786</x:v>
      </x:c>
      <x:c r="C58" t="str">
        <x:v>Mortgages</x:v>
      </x:c>
      <x:c r="D58" t="str">
        <x:v>Funds advanced</x:v>
      </x:c>
      <x:c r="E58" t="str">
        <x:v>Residential mortgages, uninsured, fixed 5 years and over</x:v>
      </x:c>
      <x:c r="F58" s="38" t="n">
        <x:v>4.26</x:v>
      </x:c>
      <x:c r="G58" s="36" t="str">
        <x:v>https://www.bankofcanada.ca/rates/banking-and-financial-statistics/interest-rates-for-new-and-existing-lending-by-chartered-banks/</x:v>
      </x:c>
    </x:row>
    <x:row r="59">
      <x:c r="A59" t="str">
        <x:v>2025-12</x:v>
      </x:c>
      <x:c r="B59" t="str">
        <x:v>V122667786</x:v>
      </x:c>
      <x:c r="C59" t="str">
        <x:v>Mortgages</x:v>
      </x:c>
      <x:c r="D59" t="str">
        <x:v>Funds advanced</x:v>
      </x:c>
      <x:c r="E59" t="str">
        <x:v>Residential mortgages, uninsured, fixed 5 years and over</x:v>
      </x:c>
      <x:c r="F59" s="38" t="n">
        <x:v>4.31</x:v>
      </x:c>
      <x:c r="G59" s="36" t="str">
        <x:v>https://www.bankofcanada.ca/rates/banking-and-financial-statistics/interest-rates-for-new-and-existing-lending-by-chartered-banks/</x:v>
      </x:c>
    </x:row>
    <x:row r="60">
      <x:c r="A60" t="str">
        <x:v>2026-01</x:v>
      </x:c>
      <x:c r="B60" t="str">
        <x:v>V122667786</x:v>
      </x:c>
      <x:c r="C60" t="str">
        <x:v>Mortgages</x:v>
      </x:c>
      <x:c r="D60" t="str">
        <x:v>Funds advanced</x:v>
      </x:c>
      <x:c r="E60" t="str">
        <x:v>Residential mortgages, uninsured, fixed 5 years and over</x:v>
      </x:c>
      <x:c r="F60" s="38" t="n">
        <x:v>4.33</x:v>
      </x:c>
      <x:c r="G60" s="36" t="str">
        <x:v>https://www.bankofcanada.ca/rates/banking-and-financial-statistics/interest-rates-for-new-and-existing-lending-by-chartered-banks/</x:v>
      </x:c>
    </x:row>
    <x:row r="61">
      <x:c r="A61" t="str">
        <x:v>2026-02</x:v>
      </x:c>
      <x:c r="B61" t="str">
        <x:v>V122667786</x:v>
      </x:c>
      <x:c r="C61" t="str">
        <x:v>Mortgages</x:v>
      </x:c>
      <x:c r="D61" t="str">
        <x:v>Funds advanced</x:v>
      </x:c>
      <x:c r="E61" t="str">
        <x:v>Residential mortgages, uninsured, fixed 5 years and over</x:v>
      </x:c>
      <x:c r="F61" s="38" t="n">
        <x:v>4.31</x:v>
      </x:c>
      <x:c r="G61" s="36" t="str">
        <x:v>https://www.bankofcanada.ca/rates/banking-and-financial-statistics/interest-rates-for-new-and-existing-lending-by-chartered-banks/</x:v>
      </x:c>
    </x:row>
    <x:row r="62">
      <x:c r="A62" t="str">
        <x:v>2025-10</x:v>
      </x:c>
      <x:c r="B62" t="str">
        <x:v>V122667787</x:v>
      </x:c>
      <x:c r="C62" t="str">
        <x:v>Mortgages</x:v>
      </x:c>
      <x:c r="D62" t="str">
        <x:v>Outstanding balances</x:v>
      </x:c>
      <x:c r="E62" t="str">
        <x:v>Residential mortgages, insured, Total</x:v>
      </x:c>
      <x:c r="F62" s="38" t="n">
        <x:v>3.83</x:v>
      </x:c>
      <x:c r="G62" s="36" t="str">
        <x:v>https://www.bankofcanada.ca/rates/banking-and-financial-statistics/interest-rates-for-new-and-existing-lending-by-chartered-banks/</x:v>
      </x:c>
    </x:row>
    <x:row r="63">
      <x:c r="A63" t="str">
        <x:v>2025-11</x:v>
      </x:c>
      <x:c r="B63" t="str">
        <x:v>V122667787</x:v>
      </x:c>
      <x:c r="C63" t="str">
        <x:v>Mortgages</x:v>
      </x:c>
      <x:c r="D63" t="str">
        <x:v>Outstanding balances</x:v>
      </x:c>
      <x:c r="E63" t="str">
        <x:v>Residential mortgages, insured, Total</x:v>
      </x:c>
      <x:c r="F63" s="38" t="n">
        <x:v>3.85</x:v>
      </x:c>
      <x:c r="G63" s="36" t="str">
        <x:v>https://www.bankofcanada.ca/rates/banking-and-financial-statistics/interest-rates-for-new-and-existing-lending-by-chartered-banks/</x:v>
      </x:c>
    </x:row>
    <x:row r="64">
      <x:c r="A64" t="str">
        <x:v>2025-12</x:v>
      </x:c>
      <x:c r="B64" t="str">
        <x:v>V122667787</x:v>
      </x:c>
      <x:c r="C64" t="str">
        <x:v>Mortgages</x:v>
      </x:c>
      <x:c r="D64" t="str">
        <x:v>Outstanding balances</x:v>
      </x:c>
      <x:c r="E64" t="str">
        <x:v>Residential mortgages, insured, Total</x:v>
      </x:c>
      <x:c r="F64" s="38" t="n">
        <x:v>3.87</x:v>
      </x:c>
      <x:c r="G64" s="36" t="str">
        <x:v>https://www.bankofcanada.ca/rates/banking-and-financial-statistics/interest-rates-for-new-and-existing-lending-by-chartered-banks/</x:v>
      </x:c>
    </x:row>
    <x:row r="65">
      <x:c r="A65" t="str">
        <x:v>2026-01</x:v>
      </x:c>
      <x:c r="B65" t="str">
        <x:v>V122667787</x:v>
      </x:c>
      <x:c r="C65" t="str">
        <x:v>Mortgages</x:v>
      </x:c>
      <x:c r="D65" t="str">
        <x:v>Outstanding balances</x:v>
      </x:c>
      <x:c r="E65" t="str">
        <x:v>Residential mortgages, insured, Total</x:v>
      </x:c>
      <x:c r="F65" s="38" t="n">
        <x:v>3.88</x:v>
      </x:c>
      <x:c r="G65" s="36" t="str">
        <x:v>https://www.bankofcanada.ca/rates/banking-and-financial-statistics/interest-rates-for-new-and-existing-lending-by-chartered-banks/</x:v>
      </x:c>
    </x:row>
    <x:row r="66">
      <x:c r="A66" t="str">
        <x:v>2026-02</x:v>
      </x:c>
      <x:c r="B66" t="str">
        <x:v>V122667787</x:v>
      </x:c>
      <x:c r="C66" t="str">
        <x:v>Mortgages</x:v>
      </x:c>
      <x:c r="D66" t="str">
        <x:v>Outstanding balances</x:v>
      </x:c>
      <x:c r="E66" t="str">
        <x:v>Residential mortgages, insured, Total</x:v>
      </x:c>
      <x:c r="F66" s="38" t="n">
        <x:v>3.88</x:v>
      </x:c>
      <x:c r="G66" s="36" t="str">
        <x:v>https://www.bankofcanada.ca/rates/banking-and-financial-statistics/interest-rates-for-new-and-existing-lending-by-chartered-banks/</x:v>
      </x:c>
    </x:row>
    <x:row r="67">
      <x:c r="A67" t="str">
        <x:v>2025-10</x:v>
      </x:c>
      <x:c r="B67" t="str">
        <x:v>V122667792</x:v>
      </x:c>
      <x:c r="C67" t="str">
        <x:v>Mortgages</x:v>
      </x:c>
      <x:c r="D67" t="str">
        <x:v>Outstanding balances</x:v>
      </x:c>
      <x:c r="E67" t="str">
        <x:v>Residential mortgages, insured, fixed 5 years and over</x:v>
      </x:c>
      <x:c r="F67" s="38" t="n">
        <x:v>3.55</x:v>
      </x:c>
      <x:c r="G67" s="36" t="str">
        <x:v>https://www.bankofcanada.ca/rates/banking-and-financial-statistics/interest-rates-for-new-and-existing-lending-by-chartered-banks/</x:v>
      </x:c>
    </x:row>
    <x:row r="68">
      <x:c r="A68" t="str">
        <x:v>2025-11</x:v>
      </x:c>
      <x:c r="B68" t="str">
        <x:v>V122667792</x:v>
      </x:c>
      <x:c r="C68" t="str">
        <x:v>Mortgages</x:v>
      </x:c>
      <x:c r="D68" t="str">
        <x:v>Outstanding balances</x:v>
      </x:c>
      <x:c r="E68" t="str">
        <x:v>Residential mortgages, insured, fixed 5 years and over</x:v>
      </x:c>
      <x:c r="F68" s="38" t="n">
        <x:v>3.6</x:v>
      </x:c>
      <x:c r="G68" s="36" t="str">
        <x:v>https://www.bankofcanada.ca/rates/banking-and-financial-statistics/interest-rates-for-new-and-existing-lending-by-chartered-banks/</x:v>
      </x:c>
    </x:row>
    <x:row r="69">
      <x:c r="A69" t="str">
        <x:v>2025-12</x:v>
      </x:c>
      <x:c r="B69" t="str">
        <x:v>V122667792</x:v>
      </x:c>
      <x:c r="C69" t="str">
        <x:v>Mortgages</x:v>
      </x:c>
      <x:c r="D69" t="str">
        <x:v>Outstanding balances</x:v>
      </x:c>
      <x:c r="E69" t="str">
        <x:v>Residential mortgages, insured, fixed 5 years and over</x:v>
      </x:c>
      <x:c r="F69" s="38" t="n">
        <x:v>3.66</x:v>
      </x:c>
      <x:c r="G69" s="36" t="str">
        <x:v>https://www.bankofcanada.ca/rates/banking-and-financial-statistics/interest-rates-for-new-and-existing-lending-by-chartered-banks/</x:v>
      </x:c>
    </x:row>
    <x:row r="70">
      <x:c r="A70" t="str">
        <x:v>2026-01</x:v>
      </x:c>
      <x:c r="B70" t="str">
        <x:v>V122667792</x:v>
      </x:c>
      <x:c r="C70" t="str">
        <x:v>Mortgages</x:v>
      </x:c>
      <x:c r="D70" t="str">
        <x:v>Outstanding balances</x:v>
      </x:c>
      <x:c r="E70" t="str">
        <x:v>Residential mortgages, insured, fixed 5 years and over</x:v>
      </x:c>
      <x:c r="F70" s="38" t="n">
        <x:v>3.7</x:v>
      </x:c>
      <x:c r="G70" s="36" t="str">
        <x:v>https://www.bankofcanada.ca/rates/banking-and-financial-statistics/interest-rates-for-new-and-existing-lending-by-chartered-banks/</x:v>
      </x:c>
    </x:row>
    <x:row r="71">
      <x:c r="A71" t="str">
        <x:v>2026-02</x:v>
      </x:c>
      <x:c r="B71" t="str">
        <x:v>V122667792</x:v>
      </x:c>
      <x:c r="C71" t="str">
        <x:v>Mortgages</x:v>
      </x:c>
      <x:c r="D71" t="str">
        <x:v>Outstanding balances</x:v>
      </x:c>
      <x:c r="E71" t="str">
        <x:v>Residential mortgages, insured, fixed 5 years and over</x:v>
      </x:c>
      <x:c r="F71" s="38" t="n">
        <x:v>3.74</x:v>
      </x:c>
      <x:c r="G71" s="36" t="str">
        <x:v>https://www.bankofcanada.ca/rates/banking-and-financial-statistics/interest-rates-for-new-and-existing-lending-by-chartered-banks/</x:v>
      </x:c>
    </x:row>
    <x:row r="72">
      <x:c r="A72" t="str">
        <x:v>2025-10</x:v>
      </x:c>
      <x:c r="B72" t="str">
        <x:v>V122667793</x:v>
      </x:c>
      <x:c r="C72" t="str">
        <x:v>Mortgages</x:v>
      </x:c>
      <x:c r="D72" t="str">
        <x:v>Outstanding balances</x:v>
      </x:c>
      <x:c r="E72" t="str">
        <x:v>Residential mortgages, uninsured, Total</x:v>
      </x:c>
      <x:c r="F72" s="38" t="n">
        <x:v>4.28</x:v>
      </x:c>
      <x:c r="G72" s="36" t="str">
        <x:v>https://www.bankofcanada.ca/rates/banking-and-financial-statistics/interest-rates-for-new-and-existing-lending-by-chartered-banks/</x:v>
      </x:c>
    </x:row>
    <x:row r="73">
      <x:c r="A73" t="str">
        <x:v>2025-11</x:v>
      </x:c>
      <x:c r="B73" t="str">
        <x:v>V122667793</x:v>
      </x:c>
      <x:c r="C73" t="str">
        <x:v>Mortgages</x:v>
      </x:c>
      <x:c r="D73" t="str">
        <x:v>Outstanding balances</x:v>
      </x:c>
      <x:c r="E73" t="str">
        <x:v>Residential mortgages, uninsured, Total</x:v>
      </x:c>
      <x:c r="F73" s="38" t="n">
        <x:v>4.29</x:v>
      </x:c>
      <x:c r="G73" s="36" t="str">
        <x:v>https://www.bankofcanada.ca/rates/banking-and-financial-statistics/interest-rates-for-new-and-existing-lending-by-chartered-banks/</x:v>
      </x:c>
    </x:row>
    <x:row r="74">
      <x:c r="A74" t="str">
        <x:v>2025-12</x:v>
      </x:c>
      <x:c r="B74" t="str">
        <x:v>V122667793</x:v>
      </x:c>
      <x:c r="C74" t="str">
        <x:v>Mortgages</x:v>
      </x:c>
      <x:c r="D74" t="str">
        <x:v>Outstanding balances</x:v>
      </x:c>
      <x:c r="E74" t="str">
        <x:v>Residential mortgages, uninsured, Total</x:v>
      </x:c>
      <x:c r="F74" s="38" t="n">
        <x:v>4.3</x:v>
      </x:c>
      <x:c r="G74" s="36" t="str">
        <x:v>https://www.bankofcanada.ca/rates/banking-and-financial-statistics/interest-rates-for-new-and-existing-lending-by-chartered-banks/</x:v>
      </x:c>
    </x:row>
    <x:row r="75">
      <x:c r="A75" t="str">
        <x:v>2026-01</x:v>
      </x:c>
      <x:c r="B75" t="str">
        <x:v>V122667793</x:v>
      </x:c>
      <x:c r="C75" t="str">
        <x:v>Mortgages</x:v>
      </x:c>
      <x:c r="D75" t="str">
        <x:v>Outstanding balances</x:v>
      </x:c>
      <x:c r="E75" t="str">
        <x:v>Residential mortgages, uninsured, Total</x:v>
      </x:c>
      <x:c r="F75" s="38" t="n">
        <x:v>4.31</x:v>
      </x:c>
      <x:c r="G75" s="36" t="str">
        <x:v>https://www.bankofcanada.ca/rates/banking-and-financial-statistics/interest-rates-for-new-and-existing-lending-by-chartered-banks/</x:v>
      </x:c>
    </x:row>
    <x:row r="76">
      <x:c r="A76" t="str">
        <x:v>2026-02</x:v>
      </x:c>
      <x:c r="B76" t="str">
        <x:v>V122667793</x:v>
      </x:c>
      <x:c r="C76" t="str">
        <x:v>Mortgages</x:v>
      </x:c>
      <x:c r="D76" t="str">
        <x:v>Outstanding balances</x:v>
      </x:c>
      <x:c r="E76" t="str">
        <x:v>Residential mortgages, uninsured, Total</x:v>
      </x:c>
      <x:c r="F76" s="38" t="n">
        <x:v>4.31</x:v>
      </x:c>
      <x:c r="G76" s="36" t="str">
        <x:v>https://www.bankofcanada.ca/rates/banking-and-financial-statistics/interest-rates-for-new-and-existing-lending-by-chartered-banks/</x:v>
      </x:c>
    </x:row>
    <x:row r="77">
      <x:c r="A77" t="str">
        <x:v>2025-10</x:v>
      </x:c>
      <x:c r="B77" t="str">
        <x:v>V122667798</x:v>
      </x:c>
      <x:c r="C77" t="str">
        <x:v>Mortgages</x:v>
      </x:c>
      <x:c r="D77" t="str">
        <x:v>Outstanding balances</x:v>
      </x:c>
      <x:c r="E77" t="str">
        <x:v>Residential mortgages, uninsured, fixed 5 years and over</x:v>
      </x:c>
      <x:c r="F77" s="38" t="n">
        <x:v>3.53</x:v>
      </x:c>
      <x:c r="G77" s="36" t="str">
        <x:v>https://www.bankofcanada.ca/rates/banking-and-financial-statistics/interest-rates-for-new-and-existing-lending-by-chartered-banks/</x:v>
      </x:c>
    </x:row>
    <x:row r="78">
      <x:c r="A78" t="str">
        <x:v>2025-11</x:v>
      </x:c>
      <x:c r="B78" t="str">
        <x:v>V122667798</x:v>
      </x:c>
      <x:c r="C78" t="str">
        <x:v>Mortgages</x:v>
      </x:c>
      <x:c r="D78" t="str">
        <x:v>Outstanding balances</x:v>
      </x:c>
      <x:c r="E78" t="str">
        <x:v>Residential mortgages, uninsured, fixed 5 years and over</x:v>
      </x:c>
      <x:c r="F78" s="38" t="n">
        <x:v>3.61</x:v>
      </x:c>
      <x:c r="G78" s="36" t="str">
        <x:v>https://www.bankofcanada.ca/rates/banking-and-financial-statistics/interest-rates-for-new-and-existing-lending-by-chartered-banks/</x:v>
      </x:c>
    </x:row>
    <x:row r="79">
      <x:c r="A79" t="str">
        <x:v>2025-12</x:v>
      </x:c>
      <x:c r="B79" t="str">
        <x:v>V122667798</x:v>
      </x:c>
      <x:c r="C79" t="str">
        <x:v>Mortgages</x:v>
      </x:c>
      <x:c r="D79" t="str">
        <x:v>Outstanding balances</x:v>
      </x:c>
      <x:c r="E79" t="str">
        <x:v>Residential mortgages, uninsured, fixed 5 years and over</x:v>
      </x:c>
      <x:c r="F79" s="38" t="n">
        <x:v>3.69</x:v>
      </x:c>
      <x:c r="G79" s="36" t="str">
        <x:v>https://www.bankofcanada.ca/rates/banking-and-financial-statistics/interest-rates-for-new-and-existing-lending-by-chartered-banks/</x:v>
      </x:c>
    </x:row>
    <x:row r="80">
      <x:c r="A80" t="str">
        <x:v>2026-01</x:v>
      </x:c>
      <x:c r="B80" t="str">
        <x:v>V122667798</x:v>
      </x:c>
      <x:c r="C80" t="str">
        <x:v>Mortgages</x:v>
      </x:c>
      <x:c r="D80" t="str">
        <x:v>Outstanding balances</x:v>
      </x:c>
      <x:c r="E80" t="str">
        <x:v>Residential mortgages, uninsured, fixed 5 years and over</x:v>
      </x:c>
      <x:c r="F80" s="38" t="n">
        <x:v>3.77</x:v>
      </x:c>
      <x:c r="G80" s="36" t="str">
        <x:v>https://www.bankofcanada.ca/rates/banking-and-financial-statistics/interest-rates-for-new-and-existing-lending-by-chartered-banks/</x:v>
      </x:c>
    </x:row>
    <x:row r="81">
      <x:c r="A81" t="str">
        <x:v>2026-02</x:v>
      </x:c>
      <x:c r="B81" t="str">
        <x:v>V122667798</x:v>
      </x:c>
      <x:c r="C81" t="str">
        <x:v>Mortgages</x:v>
      </x:c>
      <x:c r="D81" t="str">
        <x:v>Outstanding balances</x:v>
      </x:c>
      <x:c r="E81" t="str">
        <x:v>Residential mortgages, uninsured, fixed 5 years and over</x:v>
      </x:c>
      <x:c r="F81" s="38" t="n">
        <x:v>3.85</x:v>
      </x:c>
      <x:c r="G81" s="36" t="str">
        <x:v>https://www.bankofcanada.ca/rates/banking-and-financial-statistics/interest-rates-for-new-and-existing-lending-by-chartered-banks/</x:v>
      </x:c>
    </x:row>
    <x:row r="82">
      <x:c r="A82" t="str">
        <x:v>2025-10</x:v>
      </x:c>
      <x:c r="B82" t="str">
        <x:v>V122667816</x:v>
      </x:c>
      <x:c r="C82" t="str">
        <x:v>Corporate credit</x:v>
      </x:c>
      <x:c r="D82" t="str">
        <x:v>Funds advanced</x:v>
      </x:c>
      <x:c r="E82" t="str">
        <x:v>Business loans, Total</x:v>
      </x:c>
      <x:c r="F82" s="38" t="n">
        <x:v>4.55</x:v>
      </x:c>
      <x:c r="G82" s="36" t="str">
        <x:v>https://www.bankofcanada.ca/rates/banking-and-financial-statistics/interest-rates-for-new-and-existing-lending-by-chartered-banks/</x:v>
      </x:c>
    </x:row>
    <x:row r="83">
      <x:c r="A83" t="str">
        <x:v>2025-11</x:v>
      </x:c>
      <x:c r="B83" t="str">
        <x:v>V122667816</x:v>
      </x:c>
      <x:c r="C83" t="str">
        <x:v>Corporate credit</x:v>
      </x:c>
      <x:c r="D83" t="str">
        <x:v>Funds advanced</x:v>
      </x:c>
      <x:c r="E83" t="str">
        <x:v>Business loans, Total</x:v>
      </x:c>
      <x:c r="F83" s="38" t="n">
        <x:v>4.39</x:v>
      </x:c>
      <x:c r="G83" s="36" t="str">
        <x:v>https://www.bankofcanada.ca/rates/banking-and-financial-statistics/interest-rates-for-new-and-existing-lending-by-chartered-banks/</x:v>
      </x:c>
    </x:row>
    <x:row r="84">
      <x:c r="A84" t="str">
        <x:v>2025-12</x:v>
      </x:c>
      <x:c r="B84" t="str">
        <x:v>V122667816</x:v>
      </x:c>
      <x:c r="C84" t="str">
        <x:v>Corporate credit</x:v>
      </x:c>
      <x:c r="D84" t="str">
        <x:v>Funds advanced</x:v>
      </x:c>
      <x:c r="E84" t="str">
        <x:v>Business loans, Total</x:v>
      </x:c>
      <x:c r="F84" s="38" t="n">
        <x:v>4.41</x:v>
      </x:c>
      <x:c r="G84" s="36" t="str">
        <x:v>https://www.bankofcanada.ca/rates/banking-and-financial-statistics/interest-rates-for-new-and-existing-lending-by-chartered-banks/</x:v>
      </x:c>
    </x:row>
    <x:row r="85">
      <x:c r="A85" t="str">
        <x:v>2026-01</x:v>
      </x:c>
      <x:c r="B85" t="str">
        <x:v>V122667816</x:v>
      </x:c>
      <x:c r="C85" t="str">
        <x:v>Corporate credit</x:v>
      </x:c>
      <x:c r="D85" t="str">
        <x:v>Funds advanced</x:v>
      </x:c>
      <x:c r="E85" t="str">
        <x:v>Business loans, Total</x:v>
      </x:c>
      <x:c r="F85" s="38" t="n">
        <x:v>4.48</x:v>
      </x:c>
      <x:c r="G85" s="36" t="str">
        <x:v>https://www.bankofcanada.ca/rates/banking-and-financial-statistics/interest-rates-for-new-and-existing-lending-by-chartered-banks/</x:v>
      </x:c>
    </x:row>
    <x:row r="86">
      <x:c r="A86" t="str">
        <x:v>2026-02</x:v>
      </x:c>
      <x:c r="B86" t="str">
        <x:v>V122667816</x:v>
      </x:c>
      <x:c r="C86" t="str">
        <x:v>Corporate credit</x:v>
      </x:c>
      <x:c r="D86" t="str">
        <x:v>Funds advanced</x:v>
      </x:c>
      <x:c r="E86" t="str">
        <x:v>Business loans, Total</x:v>
      </x:c>
      <x:c r="F86" s="38" t="n">
        <x:v>4.39</x:v>
      </x:c>
      <x:c r="G86" s="36" t="str">
        <x:v>https://www.bankofcanada.ca/rates/banking-and-financial-statistics/interest-rates-for-new-and-existing-lending-by-chartered-banks/</x:v>
      </x:c>
    </x:row>
    <x:row r="87">
      <x:c r="A87" t="str">
        <x:v>2025-10</x:v>
      </x:c>
      <x:c r="B87" t="str">
        <x:v>V122667817</x:v>
      </x:c>
      <x:c r="C87" t="str">
        <x:v>Corporate credit</x:v>
      </x:c>
      <x:c r="D87" t="str">
        <x:v>Funds advanced</x:v>
      </x:c>
      <x:c r="E87" t="str">
        <x:v>To regulated non-bank financial institutions</x:v>
      </x:c>
      <x:c r="F87" s="38" t="n">
        <x:v>4.32</x:v>
      </x:c>
      <x:c r="G87" s="36" t="str">
        <x:v>https://www.bankofcanada.ca/rates/banking-and-financial-statistics/interest-rates-for-new-and-existing-lending-by-chartered-banks/</x:v>
      </x:c>
    </x:row>
    <x:row r="88">
      <x:c r="A88" t="str">
        <x:v>2025-11</x:v>
      </x:c>
      <x:c r="B88" t="str">
        <x:v>V122667817</x:v>
      </x:c>
      <x:c r="C88" t="str">
        <x:v>Corporate credit</x:v>
      </x:c>
      <x:c r="D88" t="str">
        <x:v>Funds advanced</x:v>
      </x:c>
      <x:c r="E88" t="str">
        <x:v>To regulated non-bank financial institutions</x:v>
      </x:c>
      <x:c r="F88" s="38" t="n">
        <x:v>4.12</x:v>
      </x:c>
      <x:c r="G88" s="36" t="str">
        <x:v>https://www.bankofcanada.ca/rates/banking-and-financial-statistics/interest-rates-for-new-and-existing-lending-by-chartered-banks/</x:v>
      </x:c>
    </x:row>
    <x:row r="89">
      <x:c r="A89" t="str">
        <x:v>2025-12</x:v>
      </x:c>
      <x:c r="B89" t="str">
        <x:v>V122667817</x:v>
      </x:c>
      <x:c r="C89" t="str">
        <x:v>Corporate credit</x:v>
      </x:c>
      <x:c r="D89" t="str">
        <x:v>Funds advanced</x:v>
      </x:c>
      <x:c r="E89" t="str">
        <x:v>To regulated non-bank financial institutions</x:v>
      </x:c>
      <x:c r="F89" s="38" t="n">
        <x:v>4.05</x:v>
      </x:c>
      <x:c r="G89" s="36" t="str">
        <x:v>https://www.bankofcanada.ca/rates/banking-and-financial-statistics/interest-rates-for-new-and-existing-lending-by-chartered-banks/</x:v>
      </x:c>
    </x:row>
    <x:row r="90">
      <x:c r="A90" t="str">
        <x:v>2026-01</x:v>
      </x:c>
      <x:c r="B90" t="str">
        <x:v>V122667817</x:v>
      </x:c>
      <x:c r="C90" t="str">
        <x:v>Corporate credit</x:v>
      </x:c>
      <x:c r="D90" t="str">
        <x:v>Funds advanced</x:v>
      </x:c>
      <x:c r="E90" t="str">
        <x:v>To regulated non-bank financial institutions</x:v>
      </x:c>
      <x:c r="F90" s="38" t="n">
        <x:v>4.01</x:v>
      </x:c>
      <x:c r="G90" s="36" t="str">
        <x:v>https://www.bankofcanada.ca/rates/banking-and-financial-statistics/interest-rates-for-new-and-existing-lending-by-chartered-banks/</x:v>
      </x:c>
    </x:row>
    <x:row r="91">
      <x:c r="A91" t="str">
        <x:v>2026-02</x:v>
      </x:c>
      <x:c r="B91" t="str">
        <x:v>V122667817</x:v>
      </x:c>
      <x:c r="C91" t="str">
        <x:v>Corporate credit</x:v>
      </x:c>
      <x:c r="D91" t="str">
        <x:v>Funds advanced</x:v>
      </x:c>
      <x:c r="E91" t="str">
        <x:v>To regulated non-bank financial institutions</x:v>
      </x:c>
      <x:c r="F91" s="38" t="n">
        <x:v>4.12</x:v>
      </x:c>
      <x:c r="G91" s="36" t="str">
        <x:v>https://www.bankofcanada.ca/rates/banking-and-financial-statistics/interest-rates-for-new-and-existing-lending-by-chartered-banks/</x:v>
      </x:c>
    </x:row>
    <x:row r="92">
      <x:c r="A92" t="str">
        <x:v>2025-10</x:v>
      </x:c>
      <x:c r="B92" t="str">
        <x:v>V122667818</x:v>
      </x:c>
      <x:c r="C92" t="str">
        <x:v>Corporate credit</x:v>
      </x:c>
      <x:c r="D92" t="str">
        <x:v>Funds advanced</x:v>
      </x:c>
      <x:c r="E92" t="str">
        <x:v>Lease receivables</x:v>
      </x:c>
      <x:c r="F92" s="38" t="n">
        <x:v>6.29</x:v>
      </x:c>
      <x:c r="G92" s="36" t="str">
        <x:v>https://www.bankofcanada.ca/rates/banking-and-financial-statistics/interest-rates-for-new-and-existing-lending-by-chartered-banks/</x:v>
      </x:c>
    </x:row>
    <x:row r="93">
      <x:c r="A93" t="str">
        <x:v>2025-11</x:v>
      </x:c>
      <x:c r="B93" t="str">
        <x:v>V122667818</x:v>
      </x:c>
      <x:c r="C93" t="str">
        <x:v>Corporate credit</x:v>
      </x:c>
      <x:c r="D93" t="str">
        <x:v>Funds advanced</x:v>
      </x:c>
      <x:c r="E93" t="str">
        <x:v>Lease receivables</x:v>
      </x:c>
      <x:c r="F93" s="38" t="n">
        <x:v>6.61</x:v>
      </x:c>
      <x:c r="G93" s="36" t="str">
        <x:v>https://www.bankofcanada.ca/rates/banking-and-financial-statistics/interest-rates-for-new-and-existing-lending-by-chartered-banks/</x:v>
      </x:c>
    </x:row>
    <x:row r="94">
      <x:c r="A94" t="str">
        <x:v>2025-12</x:v>
      </x:c>
      <x:c r="B94" t="str">
        <x:v>V122667818</x:v>
      </x:c>
      <x:c r="C94" t="str">
        <x:v>Corporate credit</x:v>
      </x:c>
      <x:c r="D94" t="str">
        <x:v>Funds advanced</x:v>
      </x:c>
      <x:c r="E94" t="str">
        <x:v>Lease receivables</x:v>
      </x:c>
      <x:c r="F94" s="38" t="n">
        <x:v>6.01</x:v>
      </x:c>
      <x:c r="G94" s="36" t="str">
        <x:v>https://www.bankofcanada.ca/rates/banking-and-financial-statistics/interest-rates-for-new-and-existing-lending-by-chartered-banks/</x:v>
      </x:c>
    </x:row>
    <x:row r="95">
      <x:c r="A95" t="str">
        <x:v>2026-01</x:v>
      </x:c>
      <x:c r="B95" t="str">
        <x:v>V122667818</x:v>
      </x:c>
      <x:c r="C95" t="str">
        <x:v>Corporate credit</x:v>
      </x:c>
      <x:c r="D95" t="str">
        <x:v>Funds advanced</x:v>
      </x:c>
      <x:c r="E95" t="str">
        <x:v>Lease receivables</x:v>
      </x:c>
      <x:c r="F95" s="38" t="n">
        <x:v>5.82</x:v>
      </x:c>
      <x:c r="G95" s="36" t="str">
        <x:v>https://www.bankofcanada.ca/rates/banking-and-financial-statistics/interest-rates-for-new-and-existing-lending-by-chartered-banks/</x:v>
      </x:c>
    </x:row>
    <x:row r="96">
      <x:c r="A96" t="str">
        <x:v>2026-02</x:v>
      </x:c>
      <x:c r="B96" t="str">
        <x:v>V122667818</x:v>
      </x:c>
      <x:c r="C96" t="str">
        <x:v>Corporate credit</x:v>
      </x:c>
      <x:c r="D96" t="str">
        <x:v>Funds advanced</x:v>
      </x:c>
      <x:c r="E96" t="str">
        <x:v>Lease receivables</x:v>
      </x:c>
      <x:c r="F96" s="38" t="n">
        <x:v>5.7</x:v>
      </x:c>
      <x:c r="G96" s="36" t="str">
        <x:v>https://www.bankofcanada.ca/rates/banking-and-financial-statistics/interest-rates-for-new-and-existing-lending-by-chartered-banks/</x:v>
      </x:c>
    </x:row>
    <x:row r="97">
      <x:c r="A97" t="str">
        <x:v>2025-10</x:v>
      </x:c>
      <x:c r="B97" t="str">
        <x:v>V122667819</x:v>
      </x:c>
      <x:c r="C97" t="str">
        <x:v>Corporate credit</x:v>
      </x:c>
      <x:c r="D97" t="str">
        <x:v>Funds advanced</x:v>
      </x:c>
      <x:c r="E97" t="str">
        <x:v>Loans to individuals and others for business purposes</x:v>
      </x:c>
      <x:c r="F97" s="38" t="n">
        <x:v>4.56</x:v>
      </x:c>
      <x:c r="G97" s="36" t="str">
        <x:v>https://www.bankofcanada.ca/rates/banking-and-financial-statistics/interest-rates-for-new-and-existing-lending-by-chartered-banks/</x:v>
      </x:c>
    </x:row>
    <x:row r="98">
      <x:c r="A98" t="str">
        <x:v>2025-11</x:v>
      </x:c>
      <x:c r="B98" t="str">
        <x:v>V122667819</x:v>
      </x:c>
      <x:c r="C98" t="str">
        <x:v>Corporate credit</x:v>
      </x:c>
      <x:c r="D98" t="str">
        <x:v>Funds advanced</x:v>
      </x:c>
      <x:c r="E98" t="str">
        <x:v>Loans to individuals and others for business purposes</x:v>
      </x:c>
      <x:c r="F98" s="38" t="n">
        <x:v>4.4</x:v>
      </x:c>
      <x:c r="G98" s="36" t="str">
        <x:v>https://www.bankofcanada.ca/rates/banking-and-financial-statistics/interest-rates-for-new-and-existing-lending-by-chartered-banks/</x:v>
      </x:c>
    </x:row>
    <x:row r="99">
      <x:c r="A99" t="str">
        <x:v>2025-12</x:v>
      </x:c>
      <x:c r="B99" t="str">
        <x:v>V122667819</x:v>
      </x:c>
      <x:c r="C99" t="str">
        <x:v>Corporate credit</x:v>
      </x:c>
      <x:c r="D99" t="str">
        <x:v>Funds advanced</x:v>
      </x:c>
      <x:c r="E99" t="str">
        <x:v>Loans to individuals and others for business purposes</x:v>
      </x:c>
      <x:c r="F99" s="38" t="n">
        <x:v>4.43</x:v>
      </x:c>
      <x:c r="G99" s="36" t="str">
        <x:v>https://www.bankofcanada.ca/rates/banking-and-financial-statistics/interest-rates-for-new-and-existing-lending-by-chartered-banks/</x:v>
      </x:c>
    </x:row>
    <x:row r="100">
      <x:c r="A100" t="str">
        <x:v>2026-01</x:v>
      </x:c>
      <x:c r="B100" t="str">
        <x:v>V122667819</x:v>
      </x:c>
      <x:c r="C100" t="str">
        <x:v>Corporate credit</x:v>
      </x:c>
      <x:c r="D100" t="str">
        <x:v>Funds advanced</x:v>
      </x:c>
      <x:c r="E100" t="str">
        <x:v>Loans to individuals and others for business purposes</x:v>
      </x:c>
      <x:c r="F100" s="38" t="n">
        <x:v>4.5</x:v>
      </x:c>
      <x:c r="G100" s="36" t="str">
        <x:v>https://www.bankofcanada.ca/rates/banking-and-financial-statistics/interest-rates-for-new-and-existing-lending-by-chartered-banks/</x:v>
      </x:c>
    </x:row>
    <x:row r="101">
      <x:c r="A101" t="str">
        <x:v>2026-02</x:v>
      </x:c>
      <x:c r="B101" t="str">
        <x:v>V122667819</x:v>
      </x:c>
      <x:c r="C101" t="str">
        <x:v>Corporate credit</x:v>
      </x:c>
      <x:c r="D101" t="str">
        <x:v>Funds advanced</x:v>
      </x:c>
      <x:c r="E101" t="str">
        <x:v>Loans to individuals and others for business purposes</x:v>
      </x:c>
      <x:c r="F101" s="38" t="n">
        <x:v>4.4</x:v>
      </x:c>
      <x:c r="G101" s="36" t="str">
        <x:v>https://www.bankofcanada.ca/rates/banking-and-financial-statistics/interest-rates-for-new-and-existing-lending-by-chartered-banks/</x:v>
      </x:c>
    </x:row>
    <x:row r="102">
      <x:c r="A102" t="str">
        <x:v>2025-10</x:v>
      </x:c>
      <x:c r="B102" t="str">
        <x:v>V122667820</x:v>
      </x:c>
      <x:c r="C102" t="str">
        <x:v>Corporate credit</x:v>
      </x:c>
      <x:c r="D102" t="str">
        <x:v>Funds advanced</x:v>
      </x:c>
      <x:c r="E102" t="str">
        <x:v>Non-residential mortgages</x:v>
      </x:c>
      <x:c r="F102" s="38" t="n">
        <x:v>4.45</x:v>
      </x:c>
      <x:c r="G102" s="36" t="str">
        <x:v>https://www.bankofcanada.ca/rates/banking-and-financial-statistics/interest-rates-for-new-and-existing-lending-by-chartered-banks/</x:v>
      </x:c>
    </x:row>
    <x:row r="103">
      <x:c r="A103" t="str">
        <x:v>2025-11</x:v>
      </x:c>
      <x:c r="B103" t="str">
        <x:v>V122667820</x:v>
      </x:c>
      <x:c r="C103" t="str">
        <x:v>Corporate credit</x:v>
      </x:c>
      <x:c r="D103" t="str">
        <x:v>Funds advanced</x:v>
      </x:c>
      <x:c r="E103" t="str">
        <x:v>Non-residential mortgages</x:v>
      </x:c>
      <x:c r="F103" s="38" t="n">
        <x:v>4.47</x:v>
      </x:c>
      <x:c r="G103" s="36" t="str">
        <x:v>https://www.bankofcanada.ca/rates/banking-and-financial-statistics/interest-rates-for-new-and-existing-lending-by-chartered-banks/</x:v>
      </x:c>
    </x:row>
    <x:row r="104">
      <x:c r="A104" t="str">
        <x:v>2025-12</x:v>
      </x:c>
      <x:c r="B104" t="str">
        <x:v>V122667820</x:v>
      </x:c>
      <x:c r="C104" t="str">
        <x:v>Corporate credit</x:v>
      </x:c>
      <x:c r="D104" t="str">
        <x:v>Funds advanced</x:v>
      </x:c>
      <x:c r="E104" t="str">
        <x:v>Non-residential mortgages</x:v>
      </x:c>
      <x:c r="F104" s="38" t="n">
        <x:v>4.41</x:v>
      </x:c>
      <x:c r="G104" s="36" t="str">
        <x:v>https://www.bankofcanada.ca/rates/banking-and-financial-statistics/interest-rates-for-new-and-existing-lending-by-chartered-banks/</x:v>
      </x:c>
    </x:row>
    <x:row r="105">
      <x:c r="A105" t="str">
        <x:v>2026-01</x:v>
      </x:c>
      <x:c r="B105" t="str">
        <x:v>V122667820</x:v>
      </x:c>
      <x:c r="C105" t="str">
        <x:v>Corporate credit</x:v>
      </x:c>
      <x:c r="D105" t="str">
        <x:v>Funds advanced</x:v>
      </x:c>
      <x:c r="E105" t="str">
        <x:v>Non-residential mortgages</x:v>
      </x:c>
      <x:c r="F105" s="38" t="n">
        <x:v>4.37</x:v>
      </x:c>
      <x:c r="G105" s="36" t="str">
        <x:v>https://www.bankofcanada.ca/rates/banking-and-financial-statistics/interest-rates-for-new-and-existing-lending-by-chartered-banks/</x:v>
      </x:c>
    </x:row>
    <x:row r="106">
      <x:c r="A106" t="str">
        <x:v>2026-02</x:v>
      </x:c>
      <x:c r="B106" t="str">
        <x:v>V122667820</x:v>
      </x:c>
      <x:c r="C106" t="str">
        <x:v>Corporate credit</x:v>
      </x:c>
      <x:c r="D106" t="str">
        <x:v>Funds advanced</x:v>
      </x:c>
      <x:c r="E106" t="str">
        <x:v>Non-residential mortgages</x:v>
      </x:c>
      <x:c r="F106" s="38" t="n">
        <x:v>4.4</x:v>
      </x:c>
      <x:c r="G106" s="36" t="str">
        <x:v>https://www.bankofcanada.ca/rates/banking-and-financial-statistics/interest-rates-for-new-and-existing-lending-by-chartered-banks/</x:v>
      </x:c>
    </x:row>
    <x:row r="107">
      <x:c r="A107" t="str">
        <x:v>2025-10</x:v>
      </x:c>
      <x:c r="B107" t="str">
        <x:v>V122667821</x:v>
      </x:c>
      <x:c r="C107" t="str">
        <x:v>Corporate credit</x:v>
      </x:c>
      <x:c r="D107" t="str">
        <x:v>Outstanding balances</x:v>
      </x:c>
      <x:c r="E107" t="str">
        <x:v>Business loans, Total</x:v>
      </x:c>
      <x:c r="F107" s="38" t="n">
        <x:v>4.78</x:v>
      </x:c>
      <x:c r="G107" s="36" t="str">
        <x:v>https://www.bankofcanada.ca/rates/banking-and-financial-statistics/interest-rates-for-new-and-existing-lending-by-chartered-banks/</x:v>
      </x:c>
    </x:row>
    <x:row r="108">
      <x:c r="A108" t="str">
        <x:v>2025-11</x:v>
      </x:c>
      <x:c r="B108" t="str">
        <x:v>V122667821</x:v>
      </x:c>
      <x:c r="C108" t="str">
        <x:v>Corporate credit</x:v>
      </x:c>
      <x:c r="D108" t="str">
        <x:v>Outstanding balances</x:v>
      </x:c>
      <x:c r="E108" t="str">
        <x:v>Business loans, Total</x:v>
      </x:c>
      <x:c r="F108" s="38" t="n">
        <x:v>4.7</x:v>
      </x:c>
      <x:c r="G108" s="36" t="str">
        <x:v>https://www.bankofcanada.ca/rates/banking-and-financial-statistics/interest-rates-for-new-and-existing-lending-by-chartered-banks/</x:v>
      </x:c>
    </x:row>
    <x:row r="109">
      <x:c r="A109" t="str">
        <x:v>2025-12</x:v>
      </x:c>
      <x:c r="B109" t="str">
        <x:v>V122667821</x:v>
      </x:c>
      <x:c r="C109" t="str">
        <x:v>Corporate credit</x:v>
      </x:c>
      <x:c r="D109" t="str">
        <x:v>Outstanding balances</x:v>
      </x:c>
      <x:c r="E109" t="str">
        <x:v>Business loans, Total</x:v>
      </x:c>
      <x:c r="F109" s="38" t="n">
        <x:v>4.69</x:v>
      </x:c>
      <x:c r="G109" s="36" t="str">
        <x:v>https://www.bankofcanada.ca/rates/banking-and-financial-statistics/interest-rates-for-new-and-existing-lending-by-chartered-banks/</x:v>
      </x:c>
    </x:row>
    <x:row r="110">
      <x:c r="A110" t="str">
        <x:v>2026-01</x:v>
      </x:c>
      <x:c r="B110" t="str">
        <x:v>V122667821</x:v>
      </x:c>
      <x:c r="C110" t="str">
        <x:v>Corporate credit</x:v>
      </x:c>
      <x:c r="D110" t="str">
        <x:v>Outstanding balances</x:v>
      </x:c>
      <x:c r="E110" t="str">
        <x:v>Business loans, Total</x:v>
      </x:c>
      <x:c r="F110" s="38" t="n">
        <x:v>4.69</x:v>
      </x:c>
      <x:c r="G110" s="36" t="str">
        <x:v>https://www.bankofcanada.ca/rates/banking-and-financial-statistics/interest-rates-for-new-and-existing-lending-by-chartered-banks/</x:v>
      </x:c>
    </x:row>
    <x:row r="111">
      <x:c r="A111" t="str">
        <x:v>2026-02</x:v>
      </x:c>
      <x:c r="B111" t="str">
        <x:v>V122667821</x:v>
      </x:c>
      <x:c r="C111" t="str">
        <x:v>Corporate credit</x:v>
      </x:c>
      <x:c r="D111" t="str">
        <x:v>Outstanding balances</x:v>
      </x:c>
      <x:c r="E111" t="str">
        <x:v>Business loans, Total</x:v>
      </x:c>
      <x:c r="F111" s="38" t="n">
        <x:v>4.66</x:v>
      </x:c>
      <x:c r="G111" s="36" t="str">
        <x:v>https://www.bankofcanada.ca/rates/banking-and-financial-statistics/interest-rates-for-new-and-existing-lending-by-chartered-banks/</x:v>
      </x:c>
    </x:row>
    <x:row r="112">
      <x:c r="A112" t="str">
        <x:v>2025-10</x:v>
      </x:c>
      <x:c r="B112" t="str">
        <x:v>V122667822</x:v>
      </x:c>
      <x:c r="C112" t="str">
        <x:v>Corporate credit</x:v>
      </x:c>
      <x:c r="D112" t="str">
        <x:v>Outstanding balances</x:v>
      </x:c>
      <x:c r="E112" t="str">
        <x:v>To regulated non-bank financial institutions</x:v>
      </x:c>
      <x:c r="F112" s="38" t="n">
        <x:v>4.48</x:v>
      </x:c>
      <x:c r="G112" s="36" t="str">
        <x:v>https://www.bankofcanada.ca/rates/banking-and-financial-statistics/interest-rates-for-new-and-existing-lending-by-chartered-banks/</x:v>
      </x:c>
    </x:row>
    <x:row r="113">
      <x:c r="A113" t="str">
        <x:v>2025-11</x:v>
      </x:c>
      <x:c r="B113" t="str">
        <x:v>V122667822</x:v>
      </x:c>
      <x:c r="C113" t="str">
        <x:v>Corporate credit</x:v>
      </x:c>
      <x:c r="D113" t="str">
        <x:v>Outstanding balances</x:v>
      </x:c>
      <x:c r="E113" t="str">
        <x:v>To regulated non-bank financial institutions</x:v>
      </x:c>
      <x:c r="F113" s="38" t="n">
        <x:v>4.36</x:v>
      </x:c>
      <x:c r="G113" s="36" t="str">
        <x:v>https://www.bankofcanada.ca/rates/banking-and-financial-statistics/interest-rates-for-new-and-existing-lending-by-chartered-banks/</x:v>
      </x:c>
    </x:row>
    <x:row r="114">
      <x:c r="A114" t="str">
        <x:v>2025-12</x:v>
      </x:c>
      <x:c r="B114" t="str">
        <x:v>V122667822</x:v>
      </x:c>
      <x:c r="C114" t="str">
        <x:v>Corporate credit</x:v>
      </x:c>
      <x:c r="D114" t="str">
        <x:v>Outstanding balances</x:v>
      </x:c>
      <x:c r="E114" t="str">
        <x:v>To regulated non-bank financial institutions</x:v>
      </x:c>
      <x:c r="F114" s="38" t="n">
        <x:v>4.25</x:v>
      </x:c>
      <x:c r="G114" s="36" t="str">
        <x:v>https://www.bankofcanada.ca/rates/banking-and-financial-statistics/interest-rates-for-new-and-existing-lending-by-chartered-banks/</x:v>
      </x:c>
    </x:row>
    <x:row r="115">
      <x:c r="A115" t="str">
        <x:v>2026-01</x:v>
      </x:c>
      <x:c r="B115" t="str">
        <x:v>V122667822</x:v>
      </x:c>
      <x:c r="C115" t="str">
        <x:v>Corporate credit</x:v>
      </x:c>
      <x:c r="D115" t="str">
        <x:v>Outstanding balances</x:v>
      </x:c>
      <x:c r="E115" t="str">
        <x:v>To regulated non-bank financial institutions</x:v>
      </x:c>
      <x:c r="F115" s="38" t="n">
        <x:v>4.22</x:v>
      </x:c>
      <x:c r="G115" s="36" t="str">
        <x:v>https://www.bankofcanada.ca/rates/banking-and-financial-statistics/interest-rates-for-new-and-existing-lending-by-chartered-banks/</x:v>
      </x:c>
    </x:row>
    <x:row r="116">
      <x:c r="A116" t="str">
        <x:v>2026-02</x:v>
      </x:c>
      <x:c r="B116" t="str">
        <x:v>V122667822</x:v>
      </x:c>
      <x:c r="C116" t="str">
        <x:v>Corporate credit</x:v>
      </x:c>
      <x:c r="D116" t="str">
        <x:v>Outstanding balances</x:v>
      </x:c>
      <x:c r="E116" t="str">
        <x:v>To regulated non-bank financial institutions</x:v>
      </x:c>
      <x:c r="F116" s="38" t="n">
        <x:v>4.23</x:v>
      </x:c>
      <x:c r="G116" s="36" t="str">
        <x:v>https://www.bankofcanada.ca/rates/banking-and-financial-statistics/interest-rates-for-new-and-existing-lending-by-chartered-banks/</x:v>
      </x:c>
    </x:row>
    <x:row r="117">
      <x:c r="A117" t="str">
        <x:v>2025-10</x:v>
      </x:c>
      <x:c r="B117" t="str">
        <x:v>V122667823</x:v>
      </x:c>
      <x:c r="C117" t="str">
        <x:v>Corporate credit</x:v>
      </x:c>
      <x:c r="D117" t="str">
        <x:v>Outstanding balances</x:v>
      </x:c>
      <x:c r="E117" t="str">
        <x:v>Lease receivables</x:v>
      </x:c>
      <x:c r="F117" s="38" t="n">
        <x:v>6.24</x:v>
      </x:c>
      <x:c r="G117" s="36" t="str">
        <x:v>https://www.bankofcanada.ca/rates/banking-and-financial-statistics/interest-rates-for-new-and-existing-lending-by-chartered-banks/</x:v>
      </x:c>
    </x:row>
    <x:row r="118">
      <x:c r="A118" t="str">
        <x:v>2025-11</x:v>
      </x:c>
      <x:c r="B118" t="str">
        <x:v>V122667823</x:v>
      </x:c>
      <x:c r="C118" t="str">
        <x:v>Corporate credit</x:v>
      </x:c>
      <x:c r="D118" t="str">
        <x:v>Outstanding balances</x:v>
      </x:c>
      <x:c r="E118" t="str">
        <x:v>Lease receivables</x:v>
      </x:c>
      <x:c r="F118" s="38" t="n">
        <x:v>6.26</x:v>
      </x:c>
      <x:c r="G118" s="36" t="str">
        <x:v>https://www.bankofcanada.ca/rates/banking-and-financial-statistics/interest-rates-for-new-and-existing-lending-by-chartered-banks/</x:v>
      </x:c>
    </x:row>
    <x:row r="119">
      <x:c r="A119" t="str">
        <x:v>2025-12</x:v>
      </x:c>
      <x:c r="B119" t="str">
        <x:v>V122667823</x:v>
      </x:c>
      <x:c r="C119" t="str">
        <x:v>Corporate credit</x:v>
      </x:c>
      <x:c r="D119" t="str">
        <x:v>Outstanding balances</x:v>
      </x:c>
      <x:c r="E119" t="str">
        <x:v>Lease receivables</x:v>
      </x:c>
      <x:c r="F119" s="38" t="n">
        <x:v>6.21</x:v>
      </x:c>
      <x:c r="G119" s="36" t="str">
        <x:v>https://www.bankofcanada.ca/rates/banking-and-financial-statistics/interest-rates-for-new-and-existing-lending-by-chartered-banks/</x:v>
      </x:c>
    </x:row>
    <x:row r="120">
      <x:c r="A120" t="str">
        <x:v>2026-01</x:v>
      </x:c>
      <x:c r="B120" t="str">
        <x:v>V122667823</x:v>
      </x:c>
      <x:c r="C120" t="str">
        <x:v>Corporate credit</x:v>
      </x:c>
      <x:c r="D120" t="str">
        <x:v>Outstanding balances</x:v>
      </x:c>
      <x:c r="E120" t="str">
        <x:v>Lease receivables</x:v>
      </x:c>
      <x:c r="F120" s="38" t="n">
        <x:v>6.31</x:v>
      </x:c>
      <x:c r="G120" s="36" t="str">
        <x:v>https://www.bankofcanada.ca/rates/banking-and-financial-statistics/interest-rates-for-new-and-existing-lending-by-chartered-banks/</x:v>
      </x:c>
    </x:row>
    <x:row r="121">
      <x:c r="A121" t="str">
        <x:v>2026-02</x:v>
      </x:c>
      <x:c r="B121" t="str">
        <x:v>V122667823</x:v>
      </x:c>
      <x:c r="C121" t="str">
        <x:v>Corporate credit</x:v>
      </x:c>
      <x:c r="D121" t="str">
        <x:v>Outstanding balances</x:v>
      </x:c>
      <x:c r="E121" t="str">
        <x:v>Lease receivables</x:v>
      </x:c>
      <x:c r="F121" s="38" t="n">
        <x:v>6.04</x:v>
      </x:c>
      <x:c r="G121" s="36" t="str">
        <x:v>https://www.bankofcanada.ca/rates/banking-and-financial-statistics/interest-rates-for-new-and-existing-lending-by-chartered-banks/</x:v>
      </x:c>
    </x:row>
    <x:row r="122">
      <x:c r="A122" t="str">
        <x:v>2025-10</x:v>
      </x:c>
      <x:c r="B122" t="str">
        <x:v>V122667824</x:v>
      </x:c>
      <x:c r="C122" t="str">
        <x:v>Corporate credit</x:v>
      </x:c>
      <x:c r="D122" t="str">
        <x:v>Outstanding balances</x:v>
      </x:c>
      <x:c r="E122" t="str">
        <x:v>Loans to individuals and others for business purposes</x:v>
      </x:c>
      <x:c r="F122" s="38" t="n">
        <x:v>4.87</x:v>
      </x:c>
      <x:c r="G122" s="36" t="str">
        <x:v>https://www.bankofcanada.ca/rates/banking-and-financial-statistics/interest-rates-for-new-and-existing-lending-by-chartered-banks/</x:v>
      </x:c>
    </x:row>
    <x:row r="123">
      <x:c r="A123" t="str">
        <x:v>2025-11</x:v>
      </x:c>
      <x:c r="B123" t="str">
        <x:v>V122667824</x:v>
      </x:c>
      <x:c r="C123" t="str">
        <x:v>Corporate credit</x:v>
      </x:c>
      <x:c r="D123" t="str">
        <x:v>Outstanding balances</x:v>
      </x:c>
      <x:c r="E123" t="str">
        <x:v>Loans to individuals and others for business purposes</x:v>
      </x:c>
      <x:c r="F123" s="38" t="n">
        <x:v>4.78</x:v>
      </x:c>
      <x:c r="G123" s="36" t="str">
        <x:v>https://www.bankofcanada.ca/rates/banking-and-financial-statistics/interest-rates-for-new-and-existing-lending-by-chartered-banks/</x:v>
      </x:c>
    </x:row>
    <x:row r="124">
      <x:c r="A124" t="str">
        <x:v>2025-12</x:v>
      </x:c>
      <x:c r="B124" t="str">
        <x:v>V122667824</x:v>
      </x:c>
      <x:c r="C124" t="str">
        <x:v>Corporate credit</x:v>
      </x:c>
      <x:c r="D124" t="str">
        <x:v>Outstanding balances</x:v>
      </x:c>
      <x:c r="E124" t="str">
        <x:v>Loans to individuals and others for business purposes</x:v>
      </x:c>
      <x:c r="F124" s="38" t="n">
        <x:v>4.77</x:v>
      </x:c>
      <x:c r="G124" s="36" t="str">
        <x:v>https://www.bankofcanada.ca/rates/banking-and-financial-statistics/interest-rates-for-new-and-existing-lending-by-chartered-banks/</x:v>
      </x:c>
    </x:row>
    <x:row r="125">
      <x:c r="A125" t="str">
        <x:v>2026-01</x:v>
      </x:c>
      <x:c r="B125" t="str">
        <x:v>V122667824</x:v>
      </x:c>
      <x:c r="C125" t="str">
        <x:v>Corporate credit</x:v>
      </x:c>
      <x:c r="D125" t="str">
        <x:v>Outstanding balances</x:v>
      </x:c>
      <x:c r="E125" t="str">
        <x:v>Loans to individuals and others for business purposes</x:v>
      </x:c>
      <x:c r="F125" s="38" t="n">
        <x:v>4.77</x:v>
      </x:c>
      <x:c r="G125" s="36" t="str">
        <x:v>https://www.bankofcanada.ca/rates/banking-and-financial-statistics/interest-rates-for-new-and-existing-lending-by-chartered-banks/</x:v>
      </x:c>
    </x:row>
    <x:row r="126">
      <x:c r="A126" t="str">
        <x:v>2026-02</x:v>
      </x:c>
      <x:c r="B126" t="str">
        <x:v>V122667824</x:v>
      </x:c>
      <x:c r="C126" t="str">
        <x:v>Corporate credit</x:v>
      </x:c>
      <x:c r="D126" t="str">
        <x:v>Outstanding balances</x:v>
      </x:c>
      <x:c r="E126" t="str">
        <x:v>Loans to individuals and others for business purposes</x:v>
      </x:c>
      <x:c r="F126" s="38" t="n">
        <x:v>4.74</x:v>
      </x:c>
      <x:c r="G126" s="36" t="str">
        <x:v>https://www.bankofcanada.ca/rates/banking-and-financial-statistics/interest-rates-for-new-and-existing-lending-by-chartered-banks/</x:v>
      </x:c>
    </x:row>
    <x:row r="127">
      <x:c r="A127" t="str">
        <x:v>2025-10</x:v>
      </x:c>
      <x:c r="B127" t="str">
        <x:v>V122667825</x:v>
      </x:c>
      <x:c r="C127" t="str">
        <x:v>Corporate credit</x:v>
      </x:c>
      <x:c r="D127" t="str">
        <x:v>Outstanding balances</x:v>
      </x:c>
      <x:c r="E127" t="str">
        <x:v>Non-residential mortgages</x:v>
      </x:c>
      <x:c r="F127" s="38" t="n">
        <x:v>4.77</x:v>
      </x:c>
      <x:c r="G127" s="36" t="str">
        <x:v>https://www.bankofcanada.ca/rates/banking-and-financial-statistics/interest-rates-for-new-and-existing-lending-by-chartered-banks/</x:v>
      </x:c>
    </x:row>
    <x:row r="128">
      <x:c r="A128" t="str">
        <x:v>2025-11</x:v>
      </x:c>
      <x:c r="B128" t="str">
        <x:v>V122667825</x:v>
      </x:c>
      <x:c r="C128" t="str">
        <x:v>Corporate credit</x:v>
      </x:c>
      <x:c r="D128" t="str">
        <x:v>Outstanding balances</x:v>
      </x:c>
      <x:c r="E128" t="str">
        <x:v>Non-residential mortgages</x:v>
      </x:c>
      <x:c r="F128" s="38" t="n">
        <x:v>4.75</x:v>
      </x:c>
      <x:c r="G128" s="36" t="str">
        <x:v>https://www.bankofcanada.ca/rates/banking-and-financial-statistics/interest-rates-for-new-and-existing-lending-by-chartered-banks/</x:v>
      </x:c>
    </x:row>
    <x:row r="129">
      <x:c r="A129" t="str">
        <x:v>2025-12</x:v>
      </x:c>
      <x:c r="B129" t="str">
        <x:v>V122667825</x:v>
      </x:c>
      <x:c r="C129" t="str">
        <x:v>Corporate credit</x:v>
      </x:c>
      <x:c r="D129" t="str">
        <x:v>Outstanding balances</x:v>
      </x:c>
      <x:c r="E129" t="str">
        <x:v>Non-residential mortgages</x:v>
      </x:c>
      <x:c r="F129" s="38" t="n">
        <x:v>4.73</x:v>
      </x:c>
      <x:c r="G129" s="36" t="str">
        <x:v>https://www.bankofcanada.ca/rates/banking-and-financial-statistics/interest-rates-for-new-and-existing-lending-by-chartered-banks/</x:v>
      </x:c>
    </x:row>
    <x:row r="130">
      <x:c r="A130" t="str">
        <x:v>2026-01</x:v>
      </x:c>
      <x:c r="B130" t="str">
        <x:v>V122667825</x:v>
      </x:c>
      <x:c r="C130" t="str">
        <x:v>Corporate credit</x:v>
      </x:c>
      <x:c r="D130" t="str">
        <x:v>Outstanding balances</x:v>
      </x:c>
      <x:c r="E130" t="str">
        <x:v>Non-residential mortgages</x:v>
      </x:c>
      <x:c r="F130" s="38" t="n">
        <x:v>4.71</x:v>
      </x:c>
      <x:c r="G130" s="36" t="str">
        <x:v>https://www.bankofcanada.ca/rates/banking-and-financial-statistics/interest-rates-for-new-and-existing-lending-by-chartered-banks/</x:v>
      </x:c>
    </x:row>
    <x:row r="131">
      <x:c r="A131" t="str">
        <x:v>2026-02</x:v>
      </x:c>
      <x:c r="B131" t="str">
        <x:v>V122667825</x:v>
      </x:c>
      <x:c r="C131" t="str">
        <x:v>Corporate credit</x:v>
      </x:c>
      <x:c r="D131" t="str">
        <x:v>Outstanding balances</x:v>
      </x:c>
      <x:c r="E131" t="str">
        <x:v>Non-residential mortgages</x:v>
      </x:c>
      <x:c r="F131" s="38" t="n">
        <x:v>4.7</x:v>
      </x:c>
      <x:c r="G131" s="36" t="str">
        <x:v>https://www.bankofcanada.ca/rates/banking-and-financial-statistics/interest-rates-for-new-and-existing-lending-by-chartered-banks/</x:v>
      </x:c>
    </x:row>
  </x:sheetData>
  <x:pageMargins left="0.7" right="0.7" top="0.75" bottom="0.75" header="0.3" footer="0.3"/>
  <x:tableParts count="1">
    <x:tablePart xmlns:r="http://schemas.openxmlformats.org/officeDocument/2006/relationships" r:id="Rd7ed3958b2684cd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</x:cols>
  <x:sheetData>
    <x:row r="1">
      <x:c r="A1" s="15" t="str">
        <x:v>date</x:v>
      </x:c>
      <x:c r="B1" s="15" t="str">
        <x:v>series_id</x:v>
      </x:c>
      <x:c r="C1" s="15" t="str">
        <x:v>product</x:v>
      </x:c>
      <x:c r="D1" s="15" t="str">
        <x:v>short_name</x:v>
      </x:c>
      <x:c r="E1" s="15" t="str">
        <x:v>rate_pct</x:v>
      </x:c>
      <x:c r="F1" s="15" t="str">
        <x:v>source_url</x:v>
      </x:c>
    </x:row>
    <x:row r="2">
      <x:c r="A2" t="str">
        <x:v>2026-03-25</x:v>
      </x:c>
      <x:c r="B2" t="str">
        <x:v>V80691311</x:v>
      </x:c>
      <x:c r="C2" t="str">
        <x:v>Prime rate</x:v>
      </x:c>
      <x:c r="D2" t="str">
        <x:v>prime_rate_pct</x:v>
      </x:c>
      <x:c r="E2" s="38" t="n">
        <x:v>4.45</x:v>
      </x:c>
      <x:c r="F2" s="36" t="str">
        <x:v>https://www.bankofcanada.ca/rates/banking-and-financial-statistics/posted-interest-rates-offered-by-chartered-banks/</x:v>
      </x:c>
    </x:row>
    <x:row r="3">
      <x:c r="A3" t="str">
        <x:v>2026-04-01</x:v>
      </x:c>
      <x:c r="B3" t="str">
        <x:v>V80691311</x:v>
      </x:c>
      <x:c r="C3" t="str">
        <x:v>Prime rate</x:v>
      </x:c>
      <x:c r="D3" t="str">
        <x:v>prime_rate_pct</x:v>
      </x:c>
      <x:c r="E3" s="38" t="n">
        <x:v>4.45</x:v>
      </x:c>
      <x:c r="F3" s="36" t="str">
        <x:v>https://www.bankofcanada.ca/rates/banking-and-financial-statistics/posted-interest-rates-offered-by-chartered-banks/</x:v>
      </x:c>
    </x:row>
    <x:row r="4">
      <x:c r="A4" t="str">
        <x:v>2026-04-08</x:v>
      </x:c>
      <x:c r="B4" t="str">
        <x:v>V80691311</x:v>
      </x:c>
      <x:c r="C4" t="str">
        <x:v>Prime rate</x:v>
      </x:c>
      <x:c r="D4" t="str">
        <x:v>prime_rate_pct</x:v>
      </x:c>
      <x:c r="E4" s="38" t="n">
        <x:v>4.45</x:v>
      </x:c>
      <x:c r="F4" s="36" t="str">
        <x:v>https://www.bankofcanada.ca/rates/banking-and-financial-statistics/posted-interest-rates-offered-by-chartered-banks/</x:v>
      </x:c>
    </x:row>
    <x:row r="5">
      <x:c r="A5" t="str">
        <x:v>2026-04-15</x:v>
      </x:c>
      <x:c r="B5" t="str">
        <x:v>V80691311</x:v>
      </x:c>
      <x:c r="C5" t="str">
        <x:v>Prime rate</x:v>
      </x:c>
      <x:c r="D5" t="str">
        <x:v>prime_rate_pct</x:v>
      </x:c>
      <x:c r="E5" s="38" t="n">
        <x:v>4.45</x:v>
      </x:c>
      <x:c r="F5" s="36" t="str">
        <x:v>https://www.bankofcanada.ca/rates/banking-and-financial-statistics/posted-interest-rates-offered-by-chartered-banks/</x:v>
      </x:c>
    </x:row>
    <x:row r="6">
      <x:c r="A6" t="str">
        <x:v>2026-04-22</x:v>
      </x:c>
      <x:c r="B6" t="str">
        <x:v>V80691311</x:v>
      </x:c>
      <x:c r="C6" t="str">
        <x:v>Prime rate</x:v>
      </x:c>
      <x:c r="D6" t="str">
        <x:v>prime_rate_pct</x:v>
      </x:c>
      <x:c r="E6" s="38" t="n">
        <x:v>4.45</x:v>
      </x:c>
      <x:c r="F6" s="36" t="str">
        <x:v>https://www.bankofcanada.ca/rates/banking-and-financial-statistics/posted-interest-rates-offered-by-chartered-banks/</x:v>
      </x:c>
    </x:row>
    <x:row r="7">
      <x:c r="A7" t="str">
        <x:v>2026-03-25</x:v>
      </x:c>
      <x:c r="B7" t="str">
        <x:v>V80691333</x:v>
      </x:c>
      <x:c r="C7" t="str">
        <x:v>Conventional mortgage 1-year</x:v>
      </x:c>
      <x:c r="D7" t="str">
        <x:v>mortgage_1y_pct</x:v>
      </x:c>
      <x:c r="E7" s="38" t="n">
        <x:v>5.49</x:v>
      </x:c>
      <x:c r="F7" s="36" t="str">
        <x:v>https://www.bankofcanada.ca/rates/banking-and-financial-statistics/posted-interest-rates-offered-by-chartered-banks/</x:v>
      </x:c>
    </x:row>
    <x:row r="8">
      <x:c r="A8" t="str">
        <x:v>2026-04-01</x:v>
      </x:c>
      <x:c r="B8" t="str">
        <x:v>V80691333</x:v>
      </x:c>
      <x:c r="C8" t="str">
        <x:v>Conventional mortgage 1-year</x:v>
      </x:c>
      <x:c r="D8" t="str">
        <x:v>mortgage_1y_pct</x:v>
      </x:c>
      <x:c r="E8" s="38" t="n">
        <x:v>5.49</x:v>
      </x:c>
      <x:c r="F8" s="36" t="str">
        <x:v>https://www.bankofcanada.ca/rates/banking-and-financial-statistics/posted-interest-rates-offered-by-chartered-banks/</x:v>
      </x:c>
    </x:row>
    <x:row r="9">
      <x:c r="A9" t="str">
        <x:v>2026-04-08</x:v>
      </x:c>
      <x:c r="B9" t="str">
        <x:v>V80691333</x:v>
      </x:c>
      <x:c r="C9" t="str">
        <x:v>Conventional mortgage 1-year</x:v>
      </x:c>
      <x:c r="D9" t="str">
        <x:v>mortgage_1y_pct</x:v>
      </x:c>
      <x:c r="E9" s="38" t="n">
        <x:v>5.49</x:v>
      </x:c>
      <x:c r="F9" s="36" t="str">
        <x:v>https://www.bankofcanada.ca/rates/banking-and-financial-statistics/posted-interest-rates-offered-by-chartered-banks/</x:v>
      </x:c>
    </x:row>
    <x:row r="10">
      <x:c r="A10" t="str">
        <x:v>2026-04-15</x:v>
      </x:c>
      <x:c r="B10" t="str">
        <x:v>V80691333</x:v>
      </x:c>
      <x:c r="C10" t="str">
        <x:v>Conventional mortgage 1-year</x:v>
      </x:c>
      <x:c r="D10" t="str">
        <x:v>mortgage_1y_pct</x:v>
      </x:c>
      <x:c r="E10" s="38" t="n">
        <x:v>5.49</x:v>
      </x:c>
      <x:c r="F10" s="36" t="str">
        <x:v>https://www.bankofcanada.ca/rates/banking-and-financial-statistics/posted-interest-rates-offered-by-chartered-banks/</x:v>
      </x:c>
    </x:row>
    <x:row r="11">
      <x:c r="A11" t="str">
        <x:v>2026-04-22</x:v>
      </x:c>
      <x:c r="B11" t="str">
        <x:v>V80691333</x:v>
      </x:c>
      <x:c r="C11" t="str">
        <x:v>Conventional mortgage 1-year</x:v>
      </x:c>
      <x:c r="D11" t="str">
        <x:v>mortgage_1y_pct</x:v>
      </x:c>
      <x:c r="E11" s="38" t="n">
        <x:v>5.49</x:v>
      </x:c>
      <x:c r="F11" s="36" t="str">
        <x:v>https://www.bankofcanada.ca/rates/banking-and-financial-statistics/posted-interest-rates-offered-by-chartered-banks/</x:v>
      </x:c>
    </x:row>
    <x:row r="12">
      <x:c r="A12" t="str">
        <x:v>2026-03-25</x:v>
      </x:c>
      <x:c r="B12" t="str">
        <x:v>V80691334</x:v>
      </x:c>
      <x:c r="C12" t="str">
        <x:v>Conventional mortgage 3-year</x:v>
      </x:c>
      <x:c r="D12" t="str">
        <x:v>mortgage_3y_pct</x:v>
      </x:c>
      <x:c r="E12" s="38" t="n">
        <x:v>6.05</x:v>
      </x:c>
      <x:c r="F12" s="36" t="str">
        <x:v>https://www.bankofcanada.ca/rates/banking-and-financial-statistics/posted-interest-rates-offered-by-chartered-banks/</x:v>
      </x:c>
    </x:row>
    <x:row r="13">
      <x:c r="A13" t="str">
        <x:v>2026-04-01</x:v>
      </x:c>
      <x:c r="B13" t="str">
        <x:v>V80691334</x:v>
      </x:c>
      <x:c r="C13" t="str">
        <x:v>Conventional mortgage 3-year</x:v>
      </x:c>
      <x:c r="D13" t="str">
        <x:v>mortgage_3y_pct</x:v>
      </x:c>
      <x:c r="E13" s="38" t="n">
        <x:v>6.05</x:v>
      </x:c>
      <x:c r="F13" s="36" t="str">
        <x:v>https://www.bankofcanada.ca/rates/banking-and-financial-statistics/posted-interest-rates-offered-by-chartered-banks/</x:v>
      </x:c>
    </x:row>
    <x:row r="14">
      <x:c r="A14" t="str">
        <x:v>2026-04-08</x:v>
      </x:c>
      <x:c r="B14" t="str">
        <x:v>V80691334</x:v>
      </x:c>
      <x:c r="C14" t="str">
        <x:v>Conventional mortgage 3-year</x:v>
      </x:c>
      <x:c r="D14" t="str">
        <x:v>mortgage_3y_pct</x:v>
      </x:c>
      <x:c r="E14" s="38" t="n">
        <x:v>6.05</x:v>
      </x:c>
      <x:c r="F14" s="36" t="str">
        <x:v>https://www.bankofcanada.ca/rates/banking-and-financial-statistics/posted-interest-rates-offered-by-chartered-banks/</x:v>
      </x:c>
    </x:row>
    <x:row r="15">
      <x:c r="A15" t="str">
        <x:v>2026-04-15</x:v>
      </x:c>
      <x:c r="B15" t="str">
        <x:v>V80691334</x:v>
      </x:c>
      <x:c r="C15" t="str">
        <x:v>Conventional mortgage 3-year</x:v>
      </x:c>
      <x:c r="D15" t="str">
        <x:v>mortgage_3y_pct</x:v>
      </x:c>
      <x:c r="E15" s="38" t="n">
        <x:v>6.05</x:v>
      </x:c>
      <x:c r="F15" s="36" t="str">
        <x:v>https://www.bankofcanada.ca/rates/banking-and-financial-statistics/posted-interest-rates-offered-by-chartered-banks/</x:v>
      </x:c>
    </x:row>
    <x:row r="16">
      <x:c r="A16" t="str">
        <x:v>2026-04-22</x:v>
      </x:c>
      <x:c r="B16" t="str">
        <x:v>V80691334</x:v>
      </x:c>
      <x:c r="C16" t="str">
        <x:v>Conventional mortgage 3-year</x:v>
      </x:c>
      <x:c r="D16" t="str">
        <x:v>mortgage_3y_pct</x:v>
      </x:c>
      <x:c r="E16" s="38" t="n">
        <x:v>6.05</x:v>
      </x:c>
      <x:c r="F16" s="36" t="str">
        <x:v>https://www.bankofcanada.ca/rates/banking-and-financial-statistics/posted-interest-rates-offered-by-chartered-banks/</x:v>
      </x:c>
    </x:row>
    <x:row r="17">
      <x:c r="A17" t="str">
        <x:v>2026-03-25</x:v>
      </x:c>
      <x:c r="B17" t="str">
        <x:v>V80691335</x:v>
      </x:c>
      <x:c r="C17" t="str">
        <x:v>Conventional mortgage 5-year</x:v>
      </x:c>
      <x:c r="D17" t="str">
        <x:v>mortgage_5y_pct</x:v>
      </x:c>
      <x:c r="E17" s="38" t="n">
        <x:v>6.09</x:v>
      </x:c>
      <x:c r="F17" s="36" t="str">
        <x:v>https://www.bankofcanada.ca/rates/banking-and-financial-statistics/posted-interest-rates-offered-by-chartered-banks/</x:v>
      </x:c>
    </x:row>
    <x:row r="18">
      <x:c r="A18" t="str">
        <x:v>2026-04-01</x:v>
      </x:c>
      <x:c r="B18" t="str">
        <x:v>V80691335</x:v>
      </x:c>
      <x:c r="C18" t="str">
        <x:v>Conventional mortgage 5-year</x:v>
      </x:c>
      <x:c r="D18" t="str">
        <x:v>mortgage_5y_pct</x:v>
      </x:c>
      <x:c r="E18" s="38" t="n">
        <x:v>6.09</x:v>
      </x:c>
      <x:c r="F18" s="36" t="str">
        <x:v>https://www.bankofcanada.ca/rates/banking-and-financial-statistics/posted-interest-rates-offered-by-chartered-banks/</x:v>
      </x:c>
    </x:row>
    <x:row r="19">
      <x:c r="A19" t="str">
        <x:v>2026-04-08</x:v>
      </x:c>
      <x:c r="B19" t="str">
        <x:v>V80691335</x:v>
      </x:c>
      <x:c r="C19" t="str">
        <x:v>Conventional mortgage 5-year</x:v>
      </x:c>
      <x:c r="D19" t="str">
        <x:v>mortgage_5y_pct</x:v>
      </x:c>
      <x:c r="E19" s="38" t="n">
        <x:v>6.09</x:v>
      </x:c>
      <x:c r="F19" s="36" t="str">
        <x:v>https://www.bankofcanada.ca/rates/banking-and-financial-statistics/posted-interest-rates-offered-by-chartered-banks/</x:v>
      </x:c>
    </x:row>
    <x:row r="20">
      <x:c r="A20" t="str">
        <x:v>2026-04-15</x:v>
      </x:c>
      <x:c r="B20" t="str">
        <x:v>V80691335</x:v>
      </x:c>
      <x:c r="C20" t="str">
        <x:v>Conventional mortgage 5-year</x:v>
      </x:c>
      <x:c r="D20" t="str">
        <x:v>mortgage_5y_pct</x:v>
      </x:c>
      <x:c r="E20" s="38" t="n">
        <x:v>6.09</x:v>
      </x:c>
      <x:c r="F20" s="36" t="str">
        <x:v>https://www.bankofcanada.ca/rates/banking-and-financial-statistics/posted-interest-rates-offered-by-chartered-banks/</x:v>
      </x:c>
    </x:row>
    <x:row r="21">
      <x:c r="A21" t="str">
        <x:v>2026-04-22</x:v>
      </x:c>
      <x:c r="B21" t="str">
        <x:v>V80691335</x:v>
      </x:c>
      <x:c r="C21" t="str">
        <x:v>Conventional mortgage 5-year</x:v>
      </x:c>
      <x:c r="D21" t="str">
        <x:v>mortgage_5y_pct</x:v>
      </x:c>
      <x:c r="E21" s="38" t="n">
        <x:v>6.09</x:v>
      </x:c>
      <x:c r="F21" s="36" t="str">
        <x:v>https://www.bankofcanada.ca/rates/banking-and-financial-statistics/posted-interest-rates-offered-by-chartered-banks/</x:v>
      </x:c>
    </x:row>
    <x:row r="22">
      <x:c r="A22" t="str">
        <x:v>2026-03-25</x:v>
      </x:c>
      <x:c r="B22" t="str">
        <x:v>V80691339</x:v>
      </x:c>
      <x:c r="C22" t="str">
        <x:v>GIC 1-year</x:v>
      </x:c>
      <x:c r="D22" t="str">
        <x:v>gic_1y_pct</x:v>
      </x:c>
      <x:c r="E22" s="38" t="n">
        <x:v>2.45</x:v>
      </x:c>
      <x:c r="F22" s="36" t="str">
        <x:v>https://www.bankofcanada.ca/rates/banking-and-financial-statistics/posted-interest-rates-offered-by-chartered-banks/</x:v>
      </x:c>
    </x:row>
    <x:row r="23">
      <x:c r="A23" t="str">
        <x:v>2026-04-01</x:v>
      </x:c>
      <x:c r="B23" t="str">
        <x:v>V80691339</x:v>
      </x:c>
      <x:c r="C23" t="str">
        <x:v>GIC 1-year</x:v>
      </x:c>
      <x:c r="D23" t="str">
        <x:v>gic_1y_pct</x:v>
      </x:c>
      <x:c r="E23" s="38" t="n">
        <x:v>2.7</x:v>
      </x:c>
      <x:c r="F23" s="36" t="str">
        <x:v>https://www.bankofcanada.ca/rates/banking-and-financial-statistics/posted-interest-rates-offered-by-chartered-banks/</x:v>
      </x:c>
    </x:row>
    <x:row r="24">
      <x:c r="A24" t="str">
        <x:v>2026-04-08</x:v>
      </x:c>
      <x:c r="B24" t="str">
        <x:v>V80691339</x:v>
      </x:c>
      <x:c r="C24" t="str">
        <x:v>GIC 1-year</x:v>
      </x:c>
      <x:c r="D24" t="str">
        <x:v>gic_1y_pct</x:v>
      </x:c>
      <x:c r="E24" s="38" t="n">
        <x:v>2.7</x:v>
      </x:c>
      <x:c r="F24" s="36" t="str">
        <x:v>https://www.bankofcanada.ca/rates/banking-and-financial-statistics/posted-interest-rates-offered-by-chartered-banks/</x:v>
      </x:c>
    </x:row>
    <x:row r="25">
      <x:c r="A25" t="str">
        <x:v>2026-04-15</x:v>
      </x:c>
      <x:c r="B25" t="str">
        <x:v>V80691339</x:v>
      </x:c>
      <x:c r="C25" t="str">
        <x:v>GIC 1-year</x:v>
      </x:c>
      <x:c r="D25" t="str">
        <x:v>gic_1y_pct</x:v>
      </x:c>
      <x:c r="E25" s="38" t="n">
        <x:v>2.7</x:v>
      </x:c>
      <x:c r="F25" s="36" t="str">
        <x:v>https://www.bankofcanada.ca/rates/banking-and-financial-statistics/posted-interest-rates-offered-by-chartered-banks/</x:v>
      </x:c>
    </x:row>
    <x:row r="26">
      <x:c r="A26" t="str">
        <x:v>2026-04-22</x:v>
      </x:c>
      <x:c r="B26" t="str">
        <x:v>V80691339</x:v>
      </x:c>
      <x:c r="C26" t="str">
        <x:v>GIC 1-year</x:v>
      </x:c>
      <x:c r="D26" t="str">
        <x:v>gic_1y_pct</x:v>
      </x:c>
      <x:c r="E26" s="38" t="n">
        <x:v>2.7</x:v>
      </x:c>
      <x:c r="F26" s="36" t="str">
        <x:v>https://www.bankofcanada.ca/rates/banking-and-financial-statistics/posted-interest-rates-offered-by-chartered-banks/</x:v>
      </x:c>
    </x:row>
    <x:row r="27">
      <x:c r="A27" t="str">
        <x:v>2026-03-25</x:v>
      </x:c>
      <x:c r="B27" t="str">
        <x:v>V80691340</x:v>
      </x:c>
      <x:c r="C27" t="str">
        <x:v>GIC 3-year</x:v>
      </x:c>
      <x:c r="D27" t="str">
        <x:v>gic_3y_pct</x:v>
      </x:c>
      <x:c r="E27" s="38" t="n">
        <x:v>2.52</x:v>
      </x:c>
      <x:c r="F27" s="36" t="str">
        <x:v>https://www.bankofcanada.ca/rates/banking-and-financial-statistics/posted-interest-rates-offered-by-chartered-banks/</x:v>
      </x:c>
    </x:row>
    <x:row r="28">
      <x:c r="A28" t="str">
        <x:v>2026-04-01</x:v>
      </x:c>
      <x:c r="B28" t="str">
        <x:v>V80691340</x:v>
      </x:c>
      <x:c r="C28" t="str">
        <x:v>GIC 3-year</x:v>
      </x:c>
      <x:c r="D28" t="str">
        <x:v>gic_3y_pct</x:v>
      </x:c>
      <x:c r="E28" s="38" t="n">
        <x:v>2.75</x:v>
      </x:c>
      <x:c r="F28" s="36" t="str">
        <x:v>https://www.bankofcanada.ca/rates/banking-and-financial-statistics/posted-interest-rates-offered-by-chartered-banks/</x:v>
      </x:c>
    </x:row>
    <x:row r="29">
      <x:c r="A29" t="str">
        <x:v>2026-04-08</x:v>
      </x:c>
      <x:c r="B29" t="str">
        <x:v>V80691340</x:v>
      </x:c>
      <x:c r="C29" t="str">
        <x:v>GIC 3-year</x:v>
      </x:c>
      <x:c r="D29" t="str">
        <x:v>gic_3y_pct</x:v>
      </x:c>
      <x:c r="E29" s="38" t="n">
        <x:v>2.75</x:v>
      </x:c>
      <x:c r="F29" s="36" t="str">
        <x:v>https://www.bankofcanada.ca/rates/banking-and-financial-statistics/posted-interest-rates-offered-by-chartered-banks/</x:v>
      </x:c>
    </x:row>
    <x:row r="30">
      <x:c r="A30" t="str">
        <x:v>2026-04-15</x:v>
      </x:c>
      <x:c r="B30" t="str">
        <x:v>V80691340</x:v>
      </x:c>
      <x:c r="C30" t="str">
        <x:v>GIC 3-year</x:v>
      </x:c>
      <x:c r="D30" t="str">
        <x:v>gic_3y_pct</x:v>
      </x:c>
      <x:c r="E30" s="38" t="n">
        <x:v>2.75</x:v>
      </x:c>
      <x:c r="F30" s="36" t="str">
        <x:v>https://www.bankofcanada.ca/rates/banking-and-financial-statistics/posted-interest-rates-offered-by-chartered-banks/</x:v>
      </x:c>
    </x:row>
    <x:row r="31">
      <x:c r="A31" t="str">
        <x:v>2026-04-22</x:v>
      </x:c>
      <x:c r="B31" t="str">
        <x:v>V80691340</x:v>
      </x:c>
      <x:c r="C31" t="str">
        <x:v>GIC 3-year</x:v>
      </x:c>
      <x:c r="D31" t="str">
        <x:v>gic_3y_pct</x:v>
      </x:c>
      <x:c r="E31" s="38" t="n">
        <x:v>2.75</x:v>
      </x:c>
      <x:c r="F31" s="36" t="str">
        <x:v>https://www.bankofcanada.ca/rates/banking-and-financial-statistics/posted-interest-rates-offered-by-chartered-banks/</x:v>
      </x:c>
    </x:row>
    <x:row r="32">
      <x:c r="A32" t="str">
        <x:v>2026-03-25</x:v>
      </x:c>
      <x:c r="B32" t="str">
        <x:v>V80691341</x:v>
      </x:c>
      <x:c r="C32" t="str">
        <x:v>GIC 5-year</x:v>
      </x:c>
      <x:c r="D32" t="str">
        <x:v>gic_5y_pct</x:v>
      </x:c>
      <x:c r="E32" s="38" t="n">
        <x:v>2.75</x:v>
      </x:c>
      <x:c r="F32" s="36" t="str">
        <x:v>https://www.bankofcanada.ca/rates/banking-and-financial-statistics/posted-interest-rates-offered-by-chartered-banks/</x:v>
      </x:c>
    </x:row>
    <x:row r="33">
      <x:c r="A33" t="str">
        <x:v>2026-04-01</x:v>
      </x:c>
      <x:c r="B33" t="str">
        <x:v>V80691341</x:v>
      </x:c>
      <x:c r="C33" t="str">
        <x:v>GIC 5-year</x:v>
      </x:c>
      <x:c r="D33" t="str">
        <x:v>gic_5y_pct</x:v>
      </x:c>
      <x:c r="E33" s="38" t="n">
        <x:v>2.75</x:v>
      </x:c>
      <x:c r="F33" s="36" t="str">
        <x:v>https://www.bankofcanada.ca/rates/banking-and-financial-statistics/posted-interest-rates-offered-by-chartered-banks/</x:v>
      </x:c>
    </x:row>
    <x:row r="34">
      <x:c r="A34" t="str">
        <x:v>2026-04-08</x:v>
      </x:c>
      <x:c r="B34" t="str">
        <x:v>V80691341</x:v>
      </x:c>
      <x:c r="C34" t="str">
        <x:v>GIC 5-year</x:v>
      </x:c>
      <x:c r="D34" t="str">
        <x:v>gic_5y_pct</x:v>
      </x:c>
      <x:c r="E34" s="38" t="n">
        <x:v>2.75</x:v>
      </x:c>
      <x:c r="F34" s="36" t="str">
        <x:v>https://www.bankofcanada.ca/rates/banking-and-financial-statistics/posted-interest-rates-offered-by-chartered-banks/</x:v>
      </x:c>
    </x:row>
    <x:row r="35">
      <x:c r="A35" t="str">
        <x:v>2026-04-15</x:v>
      </x:c>
      <x:c r="B35" t="str">
        <x:v>V80691341</x:v>
      </x:c>
      <x:c r="C35" t="str">
        <x:v>GIC 5-year</x:v>
      </x:c>
      <x:c r="D35" t="str">
        <x:v>gic_5y_pct</x:v>
      </x:c>
      <x:c r="E35" s="38" t="n">
        <x:v>2.75</x:v>
      </x:c>
      <x:c r="F35" s="36" t="str">
        <x:v>https://www.bankofcanada.ca/rates/banking-and-financial-statistics/posted-interest-rates-offered-by-chartered-banks/</x:v>
      </x:c>
    </x:row>
    <x:row r="36">
      <x:c r="A36" t="str">
        <x:v>2026-04-22</x:v>
      </x:c>
      <x:c r="B36" t="str">
        <x:v>V80691341</x:v>
      </x:c>
      <x:c r="C36" t="str">
        <x:v>GIC 5-year</x:v>
      </x:c>
      <x:c r="D36" t="str">
        <x:v>gic_5y_pct</x:v>
      </x:c>
      <x:c r="E36" s="38" t="n">
        <x:v>2.75</x:v>
      </x:c>
      <x:c r="F36" s="36" t="str">
        <x:v>https://www.bankofcanada.ca/rates/banking-and-financial-statistics/posted-interest-rates-offered-by-chartered-banks/</x:v>
      </x:c>
    </x:row>
    <x:row r="37">
      <x:c r="A37" t="str">
        <x:v>2026-03-25</x:v>
      </x:c>
      <x:c r="B37" t="str">
        <x:v>V80691336</x:v>
      </x:c>
      <x:c r="C37" t="str">
        <x:v>5-year personal fixed term</x:v>
      </x:c>
      <x:c r="D37" t="str">
        <x:v>personal_fixed_5y_pct</x:v>
      </x:c>
      <x:c r="E37" s="38" t="n">
        <x:v>2.65</x:v>
      </x:c>
      <x:c r="F37" s="36" t="str">
        <x:v>https://www.bankofcanada.ca/rates/banking-and-financial-statistics/posted-interest-rates-offered-by-chartered-banks/</x:v>
      </x:c>
    </x:row>
    <x:row r="38">
      <x:c r="A38" t="str">
        <x:v>2026-04-01</x:v>
      </x:c>
      <x:c r="B38" t="str">
        <x:v>V80691336</x:v>
      </x:c>
      <x:c r="C38" t="str">
        <x:v>5-year personal fixed term</x:v>
      </x:c>
      <x:c r="D38" t="str">
        <x:v>personal_fixed_5y_pct</x:v>
      </x:c>
      <x:c r="E38" s="38" t="n">
        <x:v>2.65</x:v>
      </x:c>
      <x:c r="F38" s="36" t="str">
        <x:v>https://www.bankofcanada.ca/rates/banking-and-financial-statistics/posted-interest-rates-offered-by-chartered-banks/</x:v>
      </x:c>
    </x:row>
    <x:row r="39">
      <x:c r="A39" t="str">
        <x:v>2026-04-08</x:v>
      </x:c>
      <x:c r="B39" t="str">
        <x:v>V80691336</x:v>
      </x:c>
      <x:c r="C39" t="str">
        <x:v>5-year personal fixed term</x:v>
      </x:c>
      <x:c r="D39" t="str">
        <x:v>personal_fixed_5y_pct</x:v>
      </x:c>
      <x:c r="E39" s="38" t="n">
        <x:v>2.65</x:v>
      </x:c>
      <x:c r="F39" s="36" t="str">
        <x:v>https://www.bankofcanada.ca/rates/banking-and-financial-statistics/posted-interest-rates-offered-by-chartered-banks/</x:v>
      </x:c>
    </x:row>
    <x:row r="40">
      <x:c r="A40" t="str">
        <x:v>2026-04-15</x:v>
      </x:c>
      <x:c r="B40" t="str">
        <x:v>V80691336</x:v>
      </x:c>
      <x:c r="C40" t="str">
        <x:v>5-year personal fixed term</x:v>
      </x:c>
      <x:c r="D40" t="str">
        <x:v>personal_fixed_5y_pct</x:v>
      </x:c>
      <x:c r="E40" s="38" t="n">
        <x:v>2.65</x:v>
      </x:c>
      <x:c r="F40" s="36" t="str">
        <x:v>https://www.bankofcanada.ca/rates/banking-and-financial-statistics/posted-interest-rates-offered-by-chartered-banks/</x:v>
      </x:c>
    </x:row>
    <x:row r="41">
      <x:c r="A41" t="str">
        <x:v>2026-04-22</x:v>
      </x:c>
      <x:c r="B41" t="str">
        <x:v>V80691336</x:v>
      </x:c>
      <x:c r="C41" t="str">
        <x:v>5-year personal fixed term</x:v>
      </x:c>
      <x:c r="D41" t="str">
        <x:v>personal_fixed_5y_pct</x:v>
      </x:c>
      <x:c r="E41" s="38" t="n">
        <x:v>2.65</x:v>
      </x:c>
      <x:c r="F41" s="36" t="str">
        <x:v>https://www.bankofcanada.ca/rates/banking-and-financial-statistics/posted-interest-rates-offered-by-chartered-banks/</x:v>
      </x:c>
    </x:row>
    <x:row r="42">
      <x:c r="A42" t="str">
        <x:v>2026-03-25</x:v>
      </x:c>
      <x:c r="B42" t="str">
        <x:v>V80691337</x:v>
      </x:c>
      <x:c r="C42" t="str">
        <x:v>Daily interest savings &gt; $100,000</x:v>
      </x:c>
      <x:c r="D42" t="str">
        <x:v>daily_interest_savings_pct</x:v>
      </x:c>
      <x:c r="E42" s="38" t="n">
        <x:v>0.01</x:v>
      </x:c>
      <x:c r="F42" s="36" t="str">
        <x:v>https://www.bankofcanada.ca/rates/banking-and-financial-statistics/posted-interest-rates-offered-by-chartered-banks/</x:v>
      </x:c>
    </x:row>
    <x:row r="43">
      <x:c r="A43" t="str">
        <x:v>2026-04-01</x:v>
      </x:c>
      <x:c r="B43" t="str">
        <x:v>V80691337</x:v>
      </x:c>
      <x:c r="C43" t="str">
        <x:v>Daily interest savings &gt; $100,000</x:v>
      </x:c>
      <x:c r="D43" t="str">
        <x:v>daily_interest_savings_pct</x:v>
      </x:c>
      <x:c r="E43" s="38" t="n">
        <x:v>0.01</x:v>
      </x:c>
      <x:c r="F43" s="36" t="str">
        <x:v>https://www.bankofcanada.ca/rates/banking-and-financial-statistics/posted-interest-rates-offered-by-chartered-banks/</x:v>
      </x:c>
    </x:row>
    <x:row r="44">
      <x:c r="A44" t="str">
        <x:v>2026-04-08</x:v>
      </x:c>
      <x:c r="B44" t="str">
        <x:v>V80691337</x:v>
      </x:c>
      <x:c r="C44" t="str">
        <x:v>Daily interest savings &gt; $100,000</x:v>
      </x:c>
      <x:c r="D44" t="str">
        <x:v>daily_interest_savings_pct</x:v>
      </x:c>
      <x:c r="E44" s="38" t="n">
        <x:v>0.01</x:v>
      </x:c>
      <x:c r="F44" s="36" t="str">
        <x:v>https://www.bankofcanada.ca/rates/banking-and-financial-statistics/posted-interest-rates-offered-by-chartered-banks/</x:v>
      </x:c>
    </x:row>
    <x:row r="45">
      <x:c r="A45" t="str">
        <x:v>2026-04-15</x:v>
      </x:c>
      <x:c r="B45" t="str">
        <x:v>V80691337</x:v>
      </x:c>
      <x:c r="C45" t="str">
        <x:v>Daily interest savings &gt; $100,000</x:v>
      </x:c>
      <x:c r="D45" t="str">
        <x:v>daily_interest_savings_pct</x:v>
      </x:c>
      <x:c r="E45" s="38" t="n">
        <x:v>0.01</x:v>
      </x:c>
      <x:c r="F45" s="36" t="str">
        <x:v>https://www.bankofcanada.ca/rates/banking-and-financial-statistics/posted-interest-rates-offered-by-chartered-banks/</x:v>
      </x:c>
    </x:row>
    <x:row r="46">
      <x:c r="A46" t="str">
        <x:v>2026-04-22</x:v>
      </x:c>
      <x:c r="B46" t="str">
        <x:v>V80691337</x:v>
      </x:c>
      <x:c r="C46" t="str">
        <x:v>Daily interest savings &gt; $100,000</x:v>
      </x:c>
      <x:c r="D46" t="str">
        <x:v>daily_interest_savings_pct</x:v>
      </x:c>
      <x:c r="E46" s="38" t="n">
        <x:v>0.01</x:v>
      </x:c>
      <x:c r="F46" s="36" t="str">
        <x:v>https://www.bankofcanada.ca/rates/banking-and-financial-statistics/posted-interest-rates-offered-by-chartered-banks/</x:v>
      </x:c>
    </x:row>
    <x:row r="47">
      <x:c r="A47" t="str">
        <x:v>2026-03-25</x:v>
      </x:c>
      <x:c r="B47" t="str">
        <x:v>V80691338</x:v>
      </x:c>
      <x:c r="C47" t="str">
        <x:v>Non-chequable savings deposits</x:v>
      </x:c>
      <x:c r="D47" t="str">
        <x:v>non_chequable_savings_pct</x:v>
      </x:c>
      <x:c r="E47" s="38" t="n">
        <x:v>0.01</x:v>
      </x:c>
      <x:c r="F47" s="36" t="str">
        <x:v>https://www.bankofcanada.ca/rates/banking-and-financial-statistics/posted-interest-rates-offered-by-chartered-banks/</x:v>
      </x:c>
    </x:row>
    <x:row r="48">
      <x:c r="A48" t="str">
        <x:v>2026-04-01</x:v>
      </x:c>
      <x:c r="B48" t="str">
        <x:v>V80691338</x:v>
      </x:c>
      <x:c r="C48" t="str">
        <x:v>Non-chequable savings deposits</x:v>
      </x:c>
      <x:c r="D48" t="str">
        <x:v>non_chequable_savings_pct</x:v>
      </x:c>
      <x:c r="E48" s="38" t="n">
        <x:v>0.01</x:v>
      </x:c>
      <x:c r="F48" s="36" t="str">
        <x:v>https://www.bankofcanada.ca/rates/banking-and-financial-statistics/posted-interest-rates-offered-by-chartered-banks/</x:v>
      </x:c>
    </x:row>
    <x:row r="49">
      <x:c r="A49" t="str">
        <x:v>2026-04-08</x:v>
      </x:c>
      <x:c r="B49" t="str">
        <x:v>V80691338</x:v>
      </x:c>
      <x:c r="C49" t="str">
        <x:v>Non-chequable savings deposits</x:v>
      </x:c>
      <x:c r="D49" t="str">
        <x:v>non_chequable_savings_pct</x:v>
      </x:c>
      <x:c r="E49" s="38" t="n">
        <x:v>0.01</x:v>
      </x:c>
      <x:c r="F49" s="36" t="str">
        <x:v>https://www.bankofcanada.ca/rates/banking-and-financial-statistics/posted-interest-rates-offered-by-chartered-banks/</x:v>
      </x:c>
    </x:row>
    <x:row r="50">
      <x:c r="A50" t="str">
        <x:v>2026-04-15</x:v>
      </x:c>
      <x:c r="B50" t="str">
        <x:v>V80691338</x:v>
      </x:c>
      <x:c r="C50" t="str">
        <x:v>Non-chequable savings deposits</x:v>
      </x:c>
      <x:c r="D50" t="str">
        <x:v>non_chequable_savings_pct</x:v>
      </x:c>
      <x:c r="E50" s="38" t="n">
        <x:v>0.01</x:v>
      </x:c>
      <x:c r="F50" s="36" t="str">
        <x:v>https://www.bankofcanada.ca/rates/banking-and-financial-statistics/posted-interest-rates-offered-by-chartered-banks/</x:v>
      </x:c>
    </x:row>
    <x:row r="51">
      <x:c r="A51" t="str">
        <x:v>2026-04-22</x:v>
      </x:c>
      <x:c r="B51" t="str">
        <x:v>V80691338</x:v>
      </x:c>
      <x:c r="C51" t="str">
        <x:v>Non-chequable savings deposits</x:v>
      </x:c>
      <x:c r="D51" t="str">
        <x:v>non_chequable_savings_pct</x:v>
      </x:c>
      <x:c r="E51" s="38" t="n">
        <x:v>0.01</x:v>
      </x:c>
      <x:c r="F51" s="36" t="str">
        <x:v>https://www.bankofcanada.ca/rates/banking-and-financial-statistics/posted-interest-rates-offered-by-chartered-banks/</x:v>
      </x:c>
    </x:row>
  </x:sheetData>
  <x:pageMargins left="0.7" right="0.7" top="0.75" bottom="0.75" header="0.3" footer="0.3"/>
  <x:tableParts count="1">
    <x:tablePart xmlns:r="http://schemas.openxmlformats.org/officeDocument/2006/relationships" r:id="R7cd4403d7f5f489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42" hidden="0" customWidth="1"/>
  </x:cols>
  <x:sheetData>
    <x:row r="1">
      <x:c r="A1" s="15" t="str">
        <x:v>period</x:v>
      </x:c>
      <x:c r="B1" s="15" t="str">
        <x:v>year</x:v>
      </x:c>
      <x:c r="C1" s="15" t="str">
        <x:v>month</x:v>
      </x:c>
      <x:c r="D1" s="15" t="str">
        <x:v>mortgage_5y_posted_rate_pct</x:v>
      </x:c>
      <x:c r="E1" s="15" t="str">
        <x:v>series_id</x:v>
      </x:c>
      <x:c r="F1" s="15" t="str">
        <x:v>source_url</x:v>
      </x:c>
    </x:row>
    <x:row r="2">
      <x:c r="A2" t="str">
        <x:v>1973-01</x:v>
      </x:c>
      <x:c r="B2" t="n">
        <x:v>1973</x:v>
      </x:c>
      <x:c r="C2" t="n">
        <x:v>1</x:v>
      </x:c>
      <x:c r="D2" s="42" t="n">
        <x:v>9</x:v>
      </x:c>
      <x:c r="E2" t="str">
        <x:v>V122521</x:v>
      </x:c>
      <x:c r="F2" s="36" t="str">
        <x:v>https://www.bankofcanada.ca/wp-content/uploads/2010/09/selected_historical_v122521.pdf</x:v>
      </x:c>
    </x:row>
    <x:row r="3">
      <x:c r="A3" t="str">
        <x:v>1973-02</x:v>
      </x:c>
      <x:c r="B3" t="n">
        <x:v>1973</x:v>
      </x:c>
      <x:c r="C3" t="n">
        <x:v>2</x:v>
      </x:c>
      <x:c r="D3" s="42" t="n">
        <x:v>9</x:v>
      </x:c>
      <x:c r="E3" t="str">
        <x:v>V122521</x:v>
      </x:c>
      <x:c r="F3" s="36" t="str">
        <x:v>https://www.bankofcanada.ca/wp-content/uploads/2010/09/selected_historical_v122521.pdf</x:v>
      </x:c>
    </x:row>
    <x:row r="4">
      <x:c r="A4" t="str">
        <x:v>1973-03</x:v>
      </x:c>
      <x:c r="B4" t="n">
        <x:v>1973</x:v>
      </x:c>
      <x:c r="C4" t="n">
        <x:v>3</x:v>
      </x:c>
      <x:c r="D4" s="42" t="n">
        <x:v>9</x:v>
      </x:c>
      <x:c r="E4" t="str">
        <x:v>V122521</x:v>
      </x:c>
      <x:c r="F4" s="36" t="str">
        <x:v>https://www.bankofcanada.ca/wp-content/uploads/2010/09/selected_historical_v122521.pdf</x:v>
      </x:c>
    </x:row>
    <x:row r="5">
      <x:c r="A5" t="str">
        <x:v>1973-04</x:v>
      </x:c>
      <x:c r="B5" t="n">
        <x:v>1973</x:v>
      </x:c>
      <x:c r="C5" t="n">
        <x:v>4</x:v>
      </x:c>
      <x:c r="D5" s="42" t="n">
        <x:v>9.25</x:v>
      </x:c>
      <x:c r="E5" t="str">
        <x:v>V122521</x:v>
      </x:c>
      <x:c r="F5" s="36" t="str">
        <x:v>https://www.bankofcanada.ca/wp-content/uploads/2010/09/selected_historical_v122521.pdf</x:v>
      </x:c>
    </x:row>
    <x:row r="6">
      <x:c r="A6" t="str">
        <x:v>1973-05</x:v>
      </x:c>
      <x:c r="B6" t="n">
        <x:v>1973</x:v>
      </x:c>
      <x:c r="C6" t="n">
        <x:v>5</x:v>
      </x:c>
      <x:c r="D6" s="42" t="n">
        <x:v>9.25</x:v>
      </x:c>
      <x:c r="E6" t="str">
        <x:v>V122521</x:v>
      </x:c>
      <x:c r="F6" s="36" t="str">
        <x:v>https://www.bankofcanada.ca/wp-content/uploads/2010/09/selected_historical_v122521.pdf</x:v>
      </x:c>
    </x:row>
    <x:row r="7">
      <x:c r="A7" t="str">
        <x:v>1973-06</x:v>
      </x:c>
      <x:c r="B7" t="n">
        <x:v>1973</x:v>
      </x:c>
      <x:c r="C7" t="n">
        <x:v>6</x:v>
      </x:c>
      <x:c r="D7" s="42" t="n">
        <x:v>9.5</x:v>
      </x:c>
      <x:c r="E7" t="str">
        <x:v>V122521</x:v>
      </x:c>
      <x:c r="F7" s="36" t="str">
        <x:v>https://www.bankofcanada.ca/wp-content/uploads/2010/09/selected_historical_v122521.pdf</x:v>
      </x:c>
    </x:row>
    <x:row r="8">
      <x:c r="A8" t="str">
        <x:v>1973-07</x:v>
      </x:c>
      <x:c r="B8" t="n">
        <x:v>1973</x:v>
      </x:c>
      <x:c r="C8" t="n">
        <x:v>7</x:v>
      </x:c>
      <x:c r="D8" s="42" t="n">
        <x:v>9.75</x:v>
      </x:c>
      <x:c r="E8" t="str">
        <x:v>V122521</x:v>
      </x:c>
      <x:c r="F8" s="36" t="str">
        <x:v>https://www.bankofcanada.ca/wp-content/uploads/2010/09/selected_historical_v122521.pdf</x:v>
      </x:c>
    </x:row>
    <x:row r="9">
      <x:c r="A9" t="str">
        <x:v>1973-08</x:v>
      </x:c>
      <x:c r="B9" t="n">
        <x:v>1973</x:v>
      </x:c>
      <x:c r="C9" t="n">
        <x:v>8</x:v>
      </x:c>
      <x:c r="D9" s="42" t="n">
        <x:v>9.75</x:v>
      </x:c>
      <x:c r="E9" t="str">
        <x:v>V122521</x:v>
      </x:c>
      <x:c r="F9" s="36" t="str">
        <x:v>https://www.bankofcanada.ca/wp-content/uploads/2010/09/selected_historical_v122521.pdf</x:v>
      </x:c>
    </x:row>
    <x:row r="10">
      <x:c r="A10" t="str">
        <x:v>1973-09</x:v>
      </x:c>
      <x:c r="B10" t="n">
        <x:v>1973</x:v>
      </x:c>
      <x:c r="C10" t="n">
        <x:v>9</x:v>
      </x:c>
      <x:c r="D10" s="42" t="n">
        <x:v>10</x:v>
      </x:c>
      <x:c r="E10" t="str">
        <x:v>V122521</x:v>
      </x:c>
      <x:c r="F10" s="36" t="str">
        <x:v>https://www.bankofcanada.ca/wp-content/uploads/2010/09/selected_historical_v122521.pdf</x:v>
      </x:c>
    </x:row>
    <x:row r="11">
      <x:c r="A11" t="str">
        <x:v>1973-10</x:v>
      </x:c>
      <x:c r="B11" t="n">
        <x:v>1973</x:v>
      </x:c>
      <x:c r="C11" t="n">
        <x:v>10</x:v>
      </x:c>
      <x:c r="D11" s="42" t="n">
        <x:v>10</x:v>
      </x:c>
      <x:c r="E11" t="str">
        <x:v>V122521</x:v>
      </x:c>
      <x:c r="F11" s="36" t="str">
        <x:v>https://www.bankofcanada.ca/wp-content/uploads/2010/09/selected_historical_v122521.pdf</x:v>
      </x:c>
    </x:row>
    <x:row r="12">
      <x:c r="A12" t="str">
        <x:v>1973-11</x:v>
      </x:c>
      <x:c r="B12" t="n">
        <x:v>1973</x:v>
      </x:c>
      <x:c r="C12" t="n">
        <x:v>11</x:v>
      </x:c>
      <x:c r="D12" s="42" t="n">
        <x:v>10</x:v>
      </x:c>
      <x:c r="E12" t="str">
        <x:v>V122521</x:v>
      </x:c>
      <x:c r="F12" s="36" t="str">
        <x:v>https://www.bankofcanada.ca/wp-content/uploads/2010/09/selected_historical_v122521.pdf</x:v>
      </x:c>
    </x:row>
    <x:row r="13">
      <x:c r="A13" t="str">
        <x:v>1973-12</x:v>
      </x:c>
      <x:c r="B13" t="n">
        <x:v>1973</x:v>
      </x:c>
      <x:c r="C13" t="n">
        <x:v>12</x:v>
      </x:c>
      <x:c r="D13" s="42" t="n">
        <x:v>10.25</x:v>
      </x:c>
      <x:c r="E13" t="str">
        <x:v>V122521</x:v>
      </x:c>
      <x:c r="F13" s="36" t="str">
        <x:v>https://www.bankofcanada.ca/wp-content/uploads/2010/09/selected_historical_v122521.pdf</x:v>
      </x:c>
    </x:row>
    <x:row r="14">
      <x:c r="A14" t="str">
        <x:v>1974-01</x:v>
      </x:c>
      <x:c r="B14" t="n">
        <x:v>1974</x:v>
      </x:c>
      <x:c r="C14" t="n">
        <x:v>1</x:v>
      </x:c>
      <x:c r="D14" s="42" t="n">
        <x:v>10</x:v>
      </x:c>
      <x:c r="E14" t="str">
        <x:v>V122521</x:v>
      </x:c>
      <x:c r="F14" s="36" t="str">
        <x:v>https://www.bankofcanada.ca/wp-content/uploads/2010/09/selected_historical_v122521.pdf</x:v>
      </x:c>
    </x:row>
    <x:row r="15">
      <x:c r="A15" t="str">
        <x:v>1974-02</x:v>
      </x:c>
      <x:c r="B15" t="n">
        <x:v>1974</x:v>
      </x:c>
      <x:c r="C15" t="n">
        <x:v>2</x:v>
      </x:c>
      <x:c r="D15" s="42" t="n">
        <x:v>10</x:v>
      </x:c>
      <x:c r="E15" t="str">
        <x:v>V122521</x:v>
      </x:c>
      <x:c r="F15" s="36" t="str">
        <x:v>https://www.bankofcanada.ca/wp-content/uploads/2010/09/selected_historical_v122521.pdf</x:v>
      </x:c>
    </x:row>
    <x:row r="16">
      <x:c r="A16" t="str">
        <x:v>1974-03</x:v>
      </x:c>
      <x:c r="B16" t="n">
        <x:v>1974</x:v>
      </x:c>
      <x:c r="C16" t="n">
        <x:v>3</x:v>
      </x:c>
      <x:c r="D16" s="42" t="n">
        <x:v>10</x:v>
      </x:c>
      <x:c r="E16" t="str">
        <x:v>V122521</x:v>
      </x:c>
      <x:c r="F16" s="36" t="str">
        <x:v>https://www.bankofcanada.ca/wp-content/uploads/2010/09/selected_historical_v122521.pdf</x:v>
      </x:c>
    </x:row>
    <x:row r="17">
      <x:c r="A17" t="str">
        <x:v>1974-04</x:v>
      </x:c>
      <x:c r="B17" t="n">
        <x:v>1974</x:v>
      </x:c>
      <x:c r="C17" t="n">
        <x:v>4</x:v>
      </x:c>
      <x:c r="D17" s="42" t="n">
        <x:v>10.5</x:v>
      </x:c>
      <x:c r="E17" t="str">
        <x:v>V122521</x:v>
      </x:c>
      <x:c r="F17" s="36" t="str">
        <x:v>https://www.bankofcanada.ca/wp-content/uploads/2010/09/selected_historical_v122521.pdf</x:v>
      </x:c>
    </x:row>
    <x:row r="18">
      <x:c r="A18" t="str">
        <x:v>1974-05</x:v>
      </x:c>
      <x:c r="B18" t="n">
        <x:v>1974</x:v>
      </x:c>
      <x:c r="C18" t="n">
        <x:v>5</x:v>
      </x:c>
      <x:c r="D18" s="42" t="n">
        <x:v>11.5</x:v>
      </x:c>
      <x:c r="E18" t="str">
        <x:v>V122521</x:v>
      </x:c>
      <x:c r="F18" s="36" t="str">
        <x:v>https://www.bankofcanada.ca/wp-content/uploads/2010/09/selected_historical_v122521.pdf</x:v>
      </x:c>
    </x:row>
    <x:row r="19">
      <x:c r="A19" t="str">
        <x:v>1974-06</x:v>
      </x:c>
      <x:c r="B19" t="n">
        <x:v>1974</x:v>
      </x:c>
      <x:c r="C19" t="n">
        <x:v>6</x:v>
      </x:c>
      <x:c r="D19" s="42" t="n">
        <x:v>11.5</x:v>
      </x:c>
      <x:c r="E19" t="str">
        <x:v>V122521</x:v>
      </x:c>
      <x:c r="F19" s="36" t="str">
        <x:v>https://www.bankofcanada.ca/wp-content/uploads/2010/09/selected_historical_v122521.pdf</x:v>
      </x:c>
    </x:row>
    <x:row r="20">
      <x:c r="A20" t="str">
        <x:v>1974-07</x:v>
      </x:c>
      <x:c r="B20" t="n">
        <x:v>1974</x:v>
      </x:c>
      <x:c r="C20" t="n">
        <x:v>7</x:v>
      </x:c>
      <x:c r="D20" s="42" t="n">
        <x:v>11.5</x:v>
      </x:c>
      <x:c r="E20" t="str">
        <x:v>V122521</x:v>
      </x:c>
      <x:c r="F20" s="36" t="str">
        <x:v>https://www.bankofcanada.ca/wp-content/uploads/2010/09/selected_historical_v122521.pdf</x:v>
      </x:c>
    </x:row>
    <x:row r="21">
      <x:c r="A21" t="str">
        <x:v>1974-08</x:v>
      </x:c>
      <x:c r="B21" t="n">
        <x:v>1974</x:v>
      </x:c>
      <x:c r="C21" t="n">
        <x:v>8</x:v>
      </x:c>
      <x:c r="D21" s="42" t="n">
        <x:v>11.75</x:v>
      </x:c>
      <x:c r="E21" t="str">
        <x:v>V122521</x:v>
      </x:c>
      <x:c r="F21" s="36" t="str">
        <x:v>https://www.bankofcanada.ca/wp-content/uploads/2010/09/selected_historical_v122521.pdf</x:v>
      </x:c>
    </x:row>
    <x:row r="22">
      <x:c r="A22" t="str">
        <x:v>1974-09</x:v>
      </x:c>
      <x:c r="B22" t="n">
        <x:v>1974</x:v>
      </x:c>
      <x:c r="C22" t="n">
        <x:v>9</x:v>
      </x:c>
      <x:c r="D22" s="42" t="n">
        <x:v>12</x:v>
      </x:c>
      <x:c r="E22" t="str">
        <x:v>V122521</x:v>
      </x:c>
      <x:c r="F22" s="36" t="str">
        <x:v>https://www.bankofcanada.ca/wp-content/uploads/2010/09/selected_historical_v122521.pdf</x:v>
      </x:c>
    </x:row>
    <x:row r="23">
      <x:c r="A23" t="str">
        <x:v>1974-10</x:v>
      </x:c>
      <x:c r="B23" t="n">
        <x:v>1974</x:v>
      </x:c>
      <x:c r="C23" t="n">
        <x:v>10</x:v>
      </x:c>
      <x:c r="D23" s="42" t="n">
        <x:v>12</x:v>
      </x:c>
      <x:c r="E23" t="str">
        <x:v>V122521</x:v>
      </x:c>
      <x:c r="F23" s="36" t="str">
        <x:v>https://www.bankofcanada.ca/wp-content/uploads/2010/09/selected_historical_v122521.pdf</x:v>
      </x:c>
    </x:row>
    <x:row r="24">
      <x:c r="A24" t="str">
        <x:v>1974-11</x:v>
      </x:c>
      <x:c r="B24" t="n">
        <x:v>1974</x:v>
      </x:c>
      <x:c r="C24" t="n">
        <x:v>11</x:v>
      </x:c>
      <x:c r="D24" s="42" t="n">
        <x:v>12</x:v>
      </x:c>
      <x:c r="E24" t="str">
        <x:v>V122521</x:v>
      </x:c>
      <x:c r="F24" s="36" t="str">
        <x:v>https://www.bankofcanada.ca/wp-content/uploads/2010/09/selected_historical_v122521.pdf</x:v>
      </x:c>
    </x:row>
    <x:row r="25">
      <x:c r="A25" t="str">
        <x:v>1974-12</x:v>
      </x:c>
      <x:c r="B25" t="n">
        <x:v>1974</x:v>
      </x:c>
      <x:c r="C25" t="n">
        <x:v>12</x:v>
      </x:c>
      <x:c r="D25" s="42" t="n">
        <x:v>12</x:v>
      </x:c>
      <x:c r="E25" t="str">
        <x:v>V122521</x:v>
      </x:c>
      <x:c r="F25" s="36" t="str">
        <x:v>https://www.bankofcanada.ca/wp-content/uploads/2010/09/selected_historical_v122521.pdf</x:v>
      </x:c>
    </x:row>
    <x:row r="26">
      <x:c r="A26" t="str">
        <x:v>1975-01</x:v>
      </x:c>
      <x:c r="B26" t="n">
        <x:v>1975</x:v>
      </x:c>
      <x:c r="C26" t="n">
        <x:v>1</x:v>
      </x:c>
      <x:c r="D26" s="42" t="n">
        <x:v>12</x:v>
      </x:c>
      <x:c r="E26" t="str">
        <x:v>V122521</x:v>
      </x:c>
      <x:c r="F26" s="36" t="str">
        <x:v>https://www.bankofcanada.ca/wp-content/uploads/2010/09/selected_historical_v122521.pdf</x:v>
      </x:c>
    </x:row>
    <x:row r="27">
      <x:c r="A27" t="str">
        <x:v>1975-02</x:v>
      </x:c>
      <x:c r="B27" t="n">
        <x:v>1975</x:v>
      </x:c>
      <x:c r="C27" t="n">
        <x:v>2</x:v>
      </x:c>
      <x:c r="D27" s="42" t="n">
        <x:v>10.75</x:v>
      </x:c>
      <x:c r="E27" t="str">
        <x:v>V122521</x:v>
      </x:c>
      <x:c r="F27" s="36" t="str">
        <x:v>https://www.bankofcanada.ca/wp-content/uploads/2010/09/selected_historical_v122521.pdf</x:v>
      </x:c>
    </x:row>
    <x:row r="28">
      <x:c r="A28" t="str">
        <x:v>1975-03</x:v>
      </x:c>
      <x:c r="B28" t="n">
        <x:v>1975</x:v>
      </x:c>
      <x:c r="C28" t="n">
        <x:v>3</x:v>
      </x:c>
      <x:c r="D28" s="42" t="n">
        <x:v>10.5</x:v>
      </x:c>
      <x:c r="E28" t="str">
        <x:v>V122521</x:v>
      </x:c>
      <x:c r="F28" s="36" t="str">
        <x:v>https://www.bankofcanada.ca/wp-content/uploads/2010/09/selected_historical_v122521.pdf</x:v>
      </x:c>
    </x:row>
    <x:row r="29">
      <x:c r="A29" t="str">
        <x:v>1975-04</x:v>
      </x:c>
      <x:c r="B29" t="n">
        <x:v>1975</x:v>
      </x:c>
      <x:c r="C29" t="n">
        <x:v>4</x:v>
      </x:c>
      <x:c r="D29" s="42" t="n">
        <x:v>10.75</x:v>
      </x:c>
      <x:c r="E29" t="str">
        <x:v>V122521</x:v>
      </x:c>
      <x:c r="F29" s="36" t="str">
        <x:v>https://www.bankofcanada.ca/wp-content/uploads/2010/09/selected_historical_v122521.pdf</x:v>
      </x:c>
    </x:row>
    <x:row r="30">
      <x:c r="A30" t="str">
        <x:v>1975-05</x:v>
      </x:c>
      <x:c r="B30" t="n">
        <x:v>1975</x:v>
      </x:c>
      <x:c r="C30" t="n">
        <x:v>5</x:v>
      </x:c>
      <x:c r="D30" s="42" t="n">
        <x:v>11</x:v>
      </x:c>
      <x:c r="E30" t="str">
        <x:v>V122521</x:v>
      </x:c>
      <x:c r="F30" s="36" t="str">
        <x:v>https://www.bankofcanada.ca/wp-content/uploads/2010/09/selected_historical_v122521.pdf</x:v>
      </x:c>
    </x:row>
    <x:row r="31">
      <x:c r="A31" t="str">
        <x:v>1975-06</x:v>
      </x:c>
      <x:c r="B31" t="n">
        <x:v>1975</x:v>
      </x:c>
      <x:c r="C31" t="n">
        <x:v>6</x:v>
      </x:c>
      <x:c r="D31" s="42" t="n">
        <x:v>11</x:v>
      </x:c>
      <x:c r="E31" t="str">
        <x:v>V122521</x:v>
      </x:c>
      <x:c r="F31" s="36" t="str">
        <x:v>https://www.bankofcanada.ca/wp-content/uploads/2010/09/selected_historical_v122521.pdf</x:v>
      </x:c>
    </x:row>
    <x:row r="32">
      <x:c r="A32" t="str">
        <x:v>1975-07</x:v>
      </x:c>
      <x:c r="B32" t="n">
        <x:v>1975</x:v>
      </x:c>
      <x:c r="C32" t="n">
        <x:v>7</x:v>
      </x:c>
      <x:c r="D32" s="42" t="n">
        <x:v>11.25</x:v>
      </x:c>
      <x:c r="E32" t="str">
        <x:v>V122521</x:v>
      </x:c>
      <x:c r="F32" s="36" t="str">
        <x:v>https://www.bankofcanada.ca/wp-content/uploads/2010/09/selected_historical_v122521.pdf</x:v>
      </x:c>
    </x:row>
    <x:row r="33">
      <x:c r="A33" t="str">
        <x:v>1975-08</x:v>
      </x:c>
      <x:c r="B33" t="n">
        <x:v>1975</x:v>
      </x:c>
      <x:c r="C33" t="n">
        <x:v>8</x:v>
      </x:c>
      <x:c r="D33" s="42" t="n">
        <x:v>11.5</x:v>
      </x:c>
      <x:c r="E33" t="str">
        <x:v>V122521</x:v>
      </x:c>
      <x:c r="F33" s="36" t="str">
        <x:v>https://www.bankofcanada.ca/wp-content/uploads/2010/09/selected_historical_v122521.pdf</x:v>
      </x:c>
    </x:row>
    <x:row r="34">
      <x:c r="A34" t="str">
        <x:v>1975-09</x:v>
      </x:c>
      <x:c r="B34" t="n">
        <x:v>1975</x:v>
      </x:c>
      <x:c r="C34" t="n">
        <x:v>9</x:v>
      </x:c>
      <x:c r="D34" s="42" t="n">
        <x:v>11.75</x:v>
      </x:c>
      <x:c r="E34" t="str">
        <x:v>V122521</x:v>
      </x:c>
      <x:c r="F34" s="36" t="str">
        <x:v>https://www.bankofcanada.ca/wp-content/uploads/2010/09/selected_historical_v122521.pdf</x:v>
      </x:c>
    </x:row>
    <x:row r="35">
      <x:c r="A35" t="str">
        <x:v>1975-10</x:v>
      </x:c>
      <x:c r="B35" t="n">
        <x:v>1975</x:v>
      </x:c>
      <x:c r="C35" t="n">
        <x:v>10</x:v>
      </x:c>
      <x:c r="D35" s="42" t="n">
        <x:v>12</x:v>
      </x:c>
      <x:c r="E35" t="str">
        <x:v>V122521</x:v>
      </x:c>
      <x:c r="F35" s="36" t="str">
        <x:v>https://www.bankofcanada.ca/wp-content/uploads/2010/09/selected_historical_v122521.pdf</x:v>
      </x:c>
    </x:row>
    <x:row r="36">
      <x:c r="A36" t="str">
        <x:v>1975-11</x:v>
      </x:c>
      <x:c r="B36" t="n">
        <x:v>1975</x:v>
      </x:c>
      <x:c r="C36" t="n">
        <x:v>11</x:v>
      </x:c>
      <x:c r="D36" s="42" t="n">
        <x:v>12</x:v>
      </x:c>
      <x:c r="E36" t="str">
        <x:v>V122521</x:v>
      </x:c>
      <x:c r="F36" s="36" t="str">
        <x:v>https://www.bankofcanada.ca/wp-content/uploads/2010/09/selected_historical_v122521.pdf</x:v>
      </x:c>
    </x:row>
    <x:row r="37">
      <x:c r="A37" t="str">
        <x:v>1975-12</x:v>
      </x:c>
      <x:c r="B37" t="n">
        <x:v>1975</x:v>
      </x:c>
      <x:c r="C37" t="n">
        <x:v>12</x:v>
      </x:c>
      <x:c r="D37" s="42" t="n">
        <x:v>12</x:v>
      </x:c>
      <x:c r="E37" t="str">
        <x:v>V122521</x:v>
      </x:c>
      <x:c r="F37" s="36" t="str">
        <x:v>https://www.bankofcanada.ca/wp-content/uploads/2010/09/selected_historical_v122521.pdf</x:v>
      </x:c>
    </x:row>
    <x:row r="38">
      <x:c r="A38" t="str">
        <x:v>1976-01</x:v>
      </x:c>
      <x:c r="B38" t="n">
        <x:v>1976</x:v>
      </x:c>
      <x:c r="C38" t="n">
        <x:v>1</x:v>
      </x:c>
      <x:c r="D38" s="42" t="n">
        <x:v>12</x:v>
      </x:c>
      <x:c r="E38" t="str">
        <x:v>V122521</x:v>
      </x:c>
      <x:c r="F38" s="36" t="str">
        <x:v>https://www.bankofcanada.ca/wp-content/uploads/2010/09/selected_historical_v122521.pdf</x:v>
      </x:c>
    </x:row>
    <x:row r="39">
      <x:c r="A39" t="str">
        <x:v>1976-02</x:v>
      </x:c>
      <x:c r="B39" t="n">
        <x:v>1976</x:v>
      </x:c>
      <x:c r="C39" t="n">
        <x:v>2</x:v>
      </x:c>
      <x:c r="D39" s="42" t="n">
        <x:v>11.75</x:v>
      </x:c>
      <x:c r="E39" t="str">
        <x:v>V122521</x:v>
      </x:c>
      <x:c r="F39" s="36" t="str">
        <x:v>https://www.bankofcanada.ca/wp-content/uploads/2010/09/selected_historical_v122521.pdf</x:v>
      </x:c>
    </x:row>
    <x:row r="40">
      <x:c r="A40" t="str">
        <x:v>1976-03</x:v>
      </x:c>
      <x:c r="B40" t="n">
        <x:v>1976</x:v>
      </x:c>
      <x:c r="C40" t="n">
        <x:v>3</x:v>
      </x:c>
      <x:c r="D40" s="42" t="n">
        <x:v>11.75</x:v>
      </x:c>
      <x:c r="E40" t="str">
        <x:v>V122521</x:v>
      </x:c>
      <x:c r="F40" s="36" t="str">
        <x:v>https://www.bankofcanada.ca/wp-content/uploads/2010/09/selected_historical_v122521.pdf</x:v>
      </x:c>
    </x:row>
    <x:row r="41">
      <x:c r="A41" t="str">
        <x:v>1976-04</x:v>
      </x:c>
      <x:c r="B41" t="n">
        <x:v>1976</x:v>
      </x:c>
      <x:c r="C41" t="n">
        <x:v>4</x:v>
      </x:c>
      <x:c r="D41" s="42" t="n">
        <x:v>12</x:v>
      </x:c>
      <x:c r="E41" t="str">
        <x:v>V122521</x:v>
      </x:c>
      <x:c r="F41" s="36" t="str">
        <x:v>https://www.bankofcanada.ca/wp-content/uploads/2010/09/selected_historical_v122521.pdf</x:v>
      </x:c>
    </x:row>
    <x:row r="42">
      <x:c r="A42" t="str">
        <x:v>1976-05</x:v>
      </x:c>
      <x:c r="B42" t="n">
        <x:v>1976</x:v>
      </x:c>
      <x:c r="C42" t="n">
        <x:v>5</x:v>
      </x:c>
      <x:c r="D42" s="42" t="n">
        <x:v>12</x:v>
      </x:c>
      <x:c r="E42" t="str">
        <x:v>V122521</x:v>
      </x:c>
      <x:c r="F42" s="36" t="str">
        <x:v>https://www.bankofcanada.ca/wp-content/uploads/2010/09/selected_historical_v122521.pdf</x:v>
      </x:c>
    </x:row>
    <x:row r="43">
      <x:c r="A43" t="str">
        <x:v>1976-06</x:v>
      </x:c>
      <x:c r="B43" t="n">
        <x:v>1976</x:v>
      </x:c>
      <x:c r="C43" t="n">
        <x:v>6</x:v>
      </x:c>
      <x:c r="D43" s="42" t="n">
        <x:v>12</x:v>
      </x:c>
      <x:c r="E43" t="str">
        <x:v>V122521</x:v>
      </x:c>
      <x:c r="F43" s="36" t="str">
        <x:v>https://www.bankofcanada.ca/wp-content/uploads/2010/09/selected_historical_v122521.pdf</x:v>
      </x:c>
    </x:row>
    <x:row r="44">
      <x:c r="A44" t="str">
        <x:v>1976-07</x:v>
      </x:c>
      <x:c r="B44" t="n">
        <x:v>1976</x:v>
      </x:c>
      <x:c r="C44" t="n">
        <x:v>7</x:v>
      </x:c>
      <x:c r="D44" s="42" t="n">
        <x:v>12</x:v>
      </x:c>
      <x:c r="E44" t="str">
        <x:v>V122521</x:v>
      </x:c>
      <x:c r="F44" s="36" t="str">
        <x:v>https://www.bankofcanada.ca/wp-content/uploads/2010/09/selected_historical_v122521.pdf</x:v>
      </x:c>
    </x:row>
    <x:row r="45">
      <x:c r="A45" t="str">
        <x:v>1976-08</x:v>
      </x:c>
      <x:c r="B45" t="n">
        <x:v>1976</x:v>
      </x:c>
      <x:c r="C45" t="n">
        <x:v>8</x:v>
      </x:c>
      <x:c r="D45" s="42" t="n">
        <x:v>12</x:v>
      </x:c>
      <x:c r="E45" t="str">
        <x:v>V122521</x:v>
      </x:c>
      <x:c r="F45" s="36" t="str">
        <x:v>https://www.bankofcanada.ca/wp-content/uploads/2010/09/selected_historical_v122521.pdf</x:v>
      </x:c>
    </x:row>
    <x:row r="46">
      <x:c r="A46" t="str">
        <x:v>1976-09</x:v>
      </x:c>
      <x:c r="B46" t="n">
        <x:v>1976</x:v>
      </x:c>
      <x:c r="C46" t="n">
        <x:v>9</x:v>
      </x:c>
      <x:c r="D46" s="42" t="n">
        <x:v>11.75</x:v>
      </x:c>
      <x:c r="E46" t="str">
        <x:v>V122521</x:v>
      </x:c>
      <x:c r="F46" s="36" t="str">
        <x:v>https://www.bankofcanada.ca/wp-content/uploads/2010/09/selected_historical_v122521.pdf</x:v>
      </x:c>
    </x:row>
    <x:row r="47">
      <x:c r="A47" t="str">
        <x:v>1976-10</x:v>
      </x:c>
      <x:c r="B47" t="n">
        <x:v>1976</x:v>
      </x:c>
      <x:c r="C47" t="n">
        <x:v>10</x:v>
      </x:c>
      <x:c r="D47" s="42" t="n">
        <x:v>11.75</x:v>
      </x:c>
      <x:c r="E47" t="str">
        <x:v>V122521</x:v>
      </x:c>
      <x:c r="F47" s="36" t="str">
        <x:v>https://www.bankofcanada.ca/wp-content/uploads/2010/09/selected_historical_v122521.pdf</x:v>
      </x:c>
    </x:row>
    <x:row r="48">
      <x:c r="A48" t="str">
        <x:v>1976-11</x:v>
      </x:c>
      <x:c r="B48" t="n">
        <x:v>1976</x:v>
      </x:c>
      <x:c r="C48" t="n">
        <x:v>11</x:v>
      </x:c>
      <x:c r="D48" s="42" t="n">
        <x:v>11.25</x:v>
      </x:c>
      <x:c r="E48" t="str">
        <x:v>V122521</x:v>
      </x:c>
      <x:c r="F48" s="36" t="str">
        <x:v>https://www.bankofcanada.ca/wp-content/uploads/2010/09/selected_historical_v122521.pdf</x:v>
      </x:c>
    </x:row>
    <x:row r="49">
      <x:c r="A49" t="str">
        <x:v>1976-12</x:v>
      </x:c>
      <x:c r="B49" t="n">
        <x:v>1976</x:v>
      </x:c>
      <x:c r="C49" t="n">
        <x:v>12</x:v>
      </x:c>
      <x:c r="D49" s="42" t="n">
        <x:v>10.75</x:v>
      </x:c>
      <x:c r="E49" t="str">
        <x:v>V122521</x:v>
      </x:c>
      <x:c r="F49" s="36" t="str">
        <x:v>https://www.bankofcanada.ca/wp-content/uploads/2010/09/selected_historical_v122521.pdf</x:v>
      </x:c>
    </x:row>
    <x:row r="50">
      <x:c r="A50" t="str">
        <x:v>1977-01</x:v>
      </x:c>
      <x:c r="B50" t="n">
        <x:v>1977</x:v>
      </x:c>
      <x:c r="C50" t="n">
        <x:v>1</x:v>
      </x:c>
      <x:c r="D50" s="42" t="n">
        <x:v>10.75</x:v>
      </x:c>
      <x:c r="E50" t="str">
        <x:v>V122521</x:v>
      </x:c>
      <x:c r="F50" s="36" t="str">
        <x:v>https://www.bankofcanada.ca/wp-content/uploads/2010/09/selected_historical_v122521.pdf</x:v>
      </x:c>
    </x:row>
    <x:row r="51">
      <x:c r="A51" t="str">
        <x:v>1977-02</x:v>
      </x:c>
      <x:c r="B51" t="n">
        <x:v>1977</x:v>
      </x:c>
      <x:c r="C51" t="n">
        <x:v>2</x:v>
      </x:c>
      <x:c r="D51" s="42" t="n">
        <x:v>10.25</x:v>
      </x:c>
      <x:c r="E51" t="str">
        <x:v>V122521</x:v>
      </x:c>
      <x:c r="F51" s="36" t="str">
        <x:v>https://www.bankofcanada.ca/wp-content/uploads/2010/09/selected_historical_v122521.pdf</x:v>
      </x:c>
    </x:row>
    <x:row r="52">
      <x:c r="A52" t="str">
        <x:v>1977-03</x:v>
      </x:c>
      <x:c r="B52" t="n">
        <x:v>1977</x:v>
      </x:c>
      <x:c r="C52" t="n">
        <x:v>3</x:v>
      </x:c>
      <x:c r="D52" s="42" t="n">
        <x:v>10.25</x:v>
      </x:c>
      <x:c r="E52" t="str">
        <x:v>V122521</x:v>
      </x:c>
      <x:c r="F52" s="36" t="str">
        <x:v>https://www.bankofcanada.ca/wp-content/uploads/2010/09/selected_historical_v122521.pdf</x:v>
      </x:c>
    </x:row>
    <x:row r="53">
      <x:c r="A53" t="str">
        <x:v>1977-04</x:v>
      </x:c>
      <x:c r="B53" t="n">
        <x:v>1977</x:v>
      </x:c>
      <x:c r="C53" t="n">
        <x:v>4</x:v>
      </x:c>
      <x:c r="D53" s="42" t="n">
        <x:v>10.25</x:v>
      </x:c>
      <x:c r="E53" t="str">
        <x:v>V122521</x:v>
      </x:c>
      <x:c r="F53" s="36" t="str">
        <x:v>https://www.bankofcanada.ca/wp-content/uploads/2010/09/selected_historical_v122521.pdf</x:v>
      </x:c>
    </x:row>
    <x:row r="54">
      <x:c r="A54" t="str">
        <x:v>1977-05</x:v>
      </x:c>
      <x:c r="B54" t="n">
        <x:v>1977</x:v>
      </x:c>
      <x:c r="C54" t="n">
        <x:v>5</x:v>
      </x:c>
      <x:c r="D54" s="42" t="n">
        <x:v>10.25</x:v>
      </x:c>
      <x:c r="E54" t="str">
        <x:v>V122521</x:v>
      </x:c>
      <x:c r="F54" s="36" t="str">
        <x:v>https://www.bankofcanada.ca/wp-content/uploads/2010/09/selected_historical_v122521.pdf</x:v>
      </x:c>
    </x:row>
    <x:row r="55">
      <x:c r="A55" t="str">
        <x:v>1977-06</x:v>
      </x:c>
      <x:c r="B55" t="n">
        <x:v>1977</x:v>
      </x:c>
      <x:c r="C55" t="n">
        <x:v>6</x:v>
      </x:c>
      <x:c r="D55" s="42" t="n">
        <x:v>10.25</x:v>
      </x:c>
      <x:c r="E55" t="str">
        <x:v>V122521</x:v>
      </x:c>
      <x:c r="F55" s="36" t="str">
        <x:v>https://www.bankofcanada.ca/wp-content/uploads/2010/09/selected_historical_v122521.pdf</x:v>
      </x:c>
    </x:row>
    <x:row r="56">
      <x:c r="A56" t="str">
        <x:v>1977-07</x:v>
      </x:c>
      <x:c r="B56" t="n">
        <x:v>1977</x:v>
      </x:c>
      <x:c r="C56" t="n">
        <x:v>7</x:v>
      </x:c>
      <x:c r="D56" s="42" t="n">
        <x:v>10.25</x:v>
      </x:c>
      <x:c r="E56" t="str">
        <x:v>V122521</x:v>
      </x:c>
      <x:c r="F56" s="36" t="str">
        <x:v>https://www.bankofcanada.ca/wp-content/uploads/2010/09/selected_historical_v122521.pdf</x:v>
      </x:c>
    </x:row>
    <x:row r="57">
      <x:c r="A57" t="str">
        <x:v>1977-08</x:v>
      </x:c>
      <x:c r="B57" t="n">
        <x:v>1977</x:v>
      </x:c>
      <x:c r="C57" t="n">
        <x:v>8</x:v>
      </x:c>
      <x:c r="D57" s="42" t="n">
        <x:v>10.25</x:v>
      </x:c>
      <x:c r="E57" t="str">
        <x:v>V122521</x:v>
      </x:c>
      <x:c r="F57" s="36" t="str">
        <x:v>https://www.bankofcanada.ca/wp-content/uploads/2010/09/selected_historical_v122521.pdf</x:v>
      </x:c>
    </x:row>
    <x:row r="58">
      <x:c r="A58" t="str">
        <x:v>1977-09</x:v>
      </x:c>
      <x:c r="B58" t="n">
        <x:v>1977</x:v>
      </x:c>
      <x:c r="C58" t="n">
        <x:v>9</x:v>
      </x:c>
      <x:c r="D58" s="42" t="n">
        <x:v>10.25</x:v>
      </x:c>
      <x:c r="E58" t="str">
        <x:v>V122521</x:v>
      </x:c>
      <x:c r="F58" s="36" t="str">
        <x:v>https://www.bankofcanada.ca/wp-content/uploads/2010/09/selected_historical_v122521.pdf</x:v>
      </x:c>
    </x:row>
    <x:row r="59">
      <x:c r="A59" t="str">
        <x:v>1977-10</x:v>
      </x:c>
      <x:c r="B59" t="n">
        <x:v>1977</x:v>
      </x:c>
      <x:c r="C59" t="n">
        <x:v>10</x:v>
      </x:c>
      <x:c r="D59" s="42" t="n">
        <x:v>10.25</x:v>
      </x:c>
      <x:c r="E59" t="str">
        <x:v>V122521</x:v>
      </x:c>
      <x:c r="F59" s="36" t="str">
        <x:v>https://www.bankofcanada.ca/wp-content/uploads/2010/09/selected_historical_v122521.pdf</x:v>
      </x:c>
    </x:row>
    <x:row r="60">
      <x:c r="A60" t="str">
        <x:v>1977-11</x:v>
      </x:c>
      <x:c r="B60" t="n">
        <x:v>1977</x:v>
      </x:c>
      <x:c r="C60" t="n">
        <x:v>11</x:v>
      </x:c>
      <x:c r="D60" s="42" t="n">
        <x:v>10.25</x:v>
      </x:c>
      <x:c r="E60" t="str">
        <x:v>V122521</x:v>
      </x:c>
      <x:c r="F60" s="36" t="str">
        <x:v>https://www.bankofcanada.ca/wp-content/uploads/2010/09/selected_historical_v122521.pdf</x:v>
      </x:c>
    </x:row>
    <x:row r="61">
      <x:c r="A61" t="str">
        <x:v>1977-12</x:v>
      </x:c>
      <x:c r="B61" t="n">
        <x:v>1977</x:v>
      </x:c>
      <x:c r="C61" t="n">
        <x:v>12</x:v>
      </x:c>
      <x:c r="D61" s="42" t="n">
        <x:v>10.25</x:v>
      </x:c>
      <x:c r="E61" t="str">
        <x:v>V122521</x:v>
      </x:c>
      <x:c r="F61" s="36" t="str">
        <x:v>https://www.bankofcanada.ca/wp-content/uploads/2010/09/selected_historical_v122521.pdf</x:v>
      </x:c>
    </x:row>
    <x:row r="62">
      <x:c r="A62" t="str">
        <x:v>1978-01</x:v>
      </x:c>
      <x:c r="B62" t="n">
        <x:v>1978</x:v>
      </x:c>
      <x:c r="C62" t="n">
        <x:v>1</x:v>
      </x:c>
      <x:c r="D62" s="42" t="n">
        <x:v>10.25</x:v>
      </x:c>
      <x:c r="E62" t="str">
        <x:v>V122521</x:v>
      </x:c>
      <x:c r="F62" s="36" t="str">
        <x:v>https://www.bankofcanada.ca/wp-content/uploads/2010/09/selected_historical_v122521.pdf</x:v>
      </x:c>
    </x:row>
    <x:row r="63">
      <x:c r="A63" t="str">
        <x:v>1978-02</x:v>
      </x:c>
      <x:c r="B63" t="n">
        <x:v>1978</x:v>
      </x:c>
      <x:c r="C63" t="n">
        <x:v>2</x:v>
      </x:c>
      <x:c r="D63" s="42" t="n">
        <x:v>10.25</x:v>
      </x:c>
      <x:c r="E63" t="str">
        <x:v>V122521</x:v>
      </x:c>
      <x:c r="F63" s="36" t="str">
        <x:v>https://www.bankofcanada.ca/wp-content/uploads/2010/09/selected_historical_v122521.pdf</x:v>
      </x:c>
    </x:row>
    <x:row r="64">
      <x:c r="A64" t="str">
        <x:v>1978-03</x:v>
      </x:c>
      <x:c r="B64" t="n">
        <x:v>1978</x:v>
      </x:c>
      <x:c r="C64" t="n">
        <x:v>3</x:v>
      </x:c>
      <x:c r="D64" s="42" t="n">
        <x:v>10.25</x:v>
      </x:c>
      <x:c r="E64" t="str">
        <x:v>V122521</x:v>
      </x:c>
      <x:c r="F64" s="36" t="str">
        <x:v>https://www.bankofcanada.ca/wp-content/uploads/2010/09/selected_historical_v122521.pdf</x:v>
      </x:c>
    </x:row>
    <x:row r="65">
      <x:c r="A65" t="str">
        <x:v>1978-04</x:v>
      </x:c>
      <x:c r="B65" t="n">
        <x:v>1978</x:v>
      </x:c>
      <x:c r="C65" t="n">
        <x:v>4</x:v>
      </x:c>
      <x:c r="D65" s="42" t="n">
        <x:v>10.25</x:v>
      </x:c>
      <x:c r="E65" t="str">
        <x:v>V122521</x:v>
      </x:c>
      <x:c r="F65" s="36" t="str">
        <x:v>https://www.bankofcanada.ca/wp-content/uploads/2010/09/selected_historical_v122521.pdf</x:v>
      </x:c>
    </x:row>
    <x:row r="66">
      <x:c r="A66" t="str">
        <x:v>1978-05</x:v>
      </x:c>
      <x:c r="B66" t="n">
        <x:v>1978</x:v>
      </x:c>
      <x:c r="C66" t="n">
        <x:v>5</x:v>
      </x:c>
      <x:c r="D66" s="42" t="n">
        <x:v>10.25</x:v>
      </x:c>
      <x:c r="E66" t="str">
        <x:v>V122521</x:v>
      </x:c>
      <x:c r="F66" s="36" t="str">
        <x:v>https://www.bankofcanada.ca/wp-content/uploads/2010/09/selected_historical_v122521.pdf</x:v>
      </x:c>
    </x:row>
    <x:row r="67">
      <x:c r="A67" t="str">
        <x:v>1978-06</x:v>
      </x:c>
      <x:c r="B67" t="n">
        <x:v>1978</x:v>
      </x:c>
      <x:c r="C67" t="n">
        <x:v>6</x:v>
      </x:c>
      <x:c r="D67" s="42" t="n">
        <x:v>10.25</x:v>
      </x:c>
      <x:c r="E67" t="str">
        <x:v>V122521</x:v>
      </x:c>
      <x:c r="F67" s="36" t="str">
        <x:v>https://www.bankofcanada.ca/wp-content/uploads/2010/09/selected_historical_v122521.pdf</x:v>
      </x:c>
    </x:row>
    <x:row r="68">
      <x:c r="A68" t="str">
        <x:v>1978-07</x:v>
      </x:c>
      <x:c r="B68" t="n">
        <x:v>1978</x:v>
      </x:c>
      <x:c r="C68" t="n">
        <x:v>7</x:v>
      </x:c>
      <x:c r="D68" s="42" t="n">
        <x:v>10.25</x:v>
      </x:c>
      <x:c r="E68" t="str">
        <x:v>V122521</x:v>
      </x:c>
      <x:c r="F68" s="36" t="str">
        <x:v>https://www.bankofcanada.ca/wp-content/uploads/2010/09/selected_historical_v122521.pdf</x:v>
      </x:c>
    </x:row>
    <x:row r="69">
      <x:c r="A69" t="str">
        <x:v>1978-08</x:v>
      </x:c>
      <x:c r="B69" t="n">
        <x:v>1978</x:v>
      </x:c>
      <x:c r="C69" t="n">
        <x:v>8</x:v>
      </x:c>
      <x:c r="D69" s="42" t="n">
        <x:v>10.25</x:v>
      </x:c>
      <x:c r="E69" t="str">
        <x:v>V122521</x:v>
      </x:c>
      <x:c r="F69" s="36" t="str">
        <x:v>https://www.bankofcanada.ca/wp-content/uploads/2010/09/selected_historical_v122521.pdf</x:v>
      </x:c>
    </x:row>
    <x:row r="70">
      <x:c r="A70" t="str">
        <x:v>1978-09</x:v>
      </x:c>
      <x:c r="B70" t="n">
        <x:v>1978</x:v>
      </x:c>
      <x:c r="C70" t="n">
        <x:v>9</x:v>
      </x:c>
      <x:c r="D70" s="42" t="n">
        <x:v>10.75</x:v>
      </x:c>
      <x:c r="E70" t="str">
        <x:v>V122521</x:v>
      </x:c>
      <x:c r="F70" s="36" t="str">
        <x:v>https://www.bankofcanada.ca/wp-content/uploads/2010/09/selected_historical_v122521.pdf</x:v>
      </x:c>
    </x:row>
    <x:row r="71">
      <x:c r="A71" t="str">
        <x:v>1978-10</x:v>
      </x:c>
      <x:c r="B71" t="n">
        <x:v>1978</x:v>
      </x:c>
      <x:c r="C71" t="n">
        <x:v>10</x:v>
      </x:c>
      <x:c r="D71" s="42" t="n">
        <x:v>11.25</x:v>
      </x:c>
      <x:c r="E71" t="str">
        <x:v>V122521</x:v>
      </x:c>
      <x:c r="F71" s="36" t="str">
        <x:v>https://www.bankofcanada.ca/wp-content/uploads/2010/09/selected_historical_v122521.pdf</x:v>
      </x:c>
    </x:row>
    <x:row r="72">
      <x:c r="A72" t="str">
        <x:v>1978-11</x:v>
      </x:c>
      <x:c r="B72" t="n">
        <x:v>1978</x:v>
      </x:c>
      <x:c r="C72" t="n">
        <x:v>11</x:v>
      </x:c>
      <x:c r="D72" s="42" t="n">
        <x:v>11.25</x:v>
      </x:c>
      <x:c r="E72" t="str">
        <x:v>V122521</x:v>
      </x:c>
      <x:c r="F72" s="36" t="str">
        <x:v>https://www.bankofcanada.ca/wp-content/uploads/2010/09/selected_historical_v122521.pdf</x:v>
      </x:c>
    </x:row>
    <x:row r="73">
      <x:c r="A73" t="str">
        <x:v>1978-12</x:v>
      </x:c>
      <x:c r="B73" t="n">
        <x:v>1978</x:v>
      </x:c>
      <x:c r="C73" t="n">
        <x:v>12</x:v>
      </x:c>
      <x:c r="D73" s="42" t="n">
        <x:v>11.25</x:v>
      </x:c>
      <x:c r="E73" t="str">
        <x:v>V122521</x:v>
      </x:c>
      <x:c r="F73" s="36" t="str">
        <x:v>https://www.bankofcanada.ca/wp-content/uploads/2010/09/selected_historical_v122521.pdf</x:v>
      </x:c>
    </x:row>
    <x:row r="74">
      <x:c r="A74" t="str">
        <x:v>1979-01</x:v>
      </x:c>
      <x:c r="B74" t="n">
        <x:v>1979</x:v>
      </x:c>
      <x:c r="C74" t="n">
        <x:v>1</x:v>
      </x:c>
      <x:c r="D74" s="42" t="n">
        <x:v>11.25</x:v>
      </x:c>
      <x:c r="E74" t="str">
        <x:v>V122521</x:v>
      </x:c>
      <x:c r="F74" s="36" t="str">
        <x:v>https://www.bankofcanada.ca/wp-content/uploads/2010/09/selected_historical_v122521.pdf</x:v>
      </x:c>
    </x:row>
    <x:row r="75">
      <x:c r="A75" t="str">
        <x:v>1979-02</x:v>
      </x:c>
      <x:c r="B75" t="n">
        <x:v>1979</x:v>
      </x:c>
      <x:c r="C75" t="n">
        <x:v>2</x:v>
      </x:c>
      <x:c r="D75" s="42" t="n">
        <x:v>11.25</x:v>
      </x:c>
      <x:c r="E75" t="str">
        <x:v>V122521</x:v>
      </x:c>
      <x:c r="F75" s="36" t="str">
        <x:v>https://www.bankofcanada.ca/wp-content/uploads/2010/09/selected_historical_v122521.pdf</x:v>
      </x:c>
    </x:row>
    <x:row r="76">
      <x:c r="A76" t="str">
        <x:v>1979-03</x:v>
      </x:c>
      <x:c r="B76" t="n">
        <x:v>1979</x:v>
      </x:c>
      <x:c r="C76" t="n">
        <x:v>3</x:v>
      </x:c>
      <x:c r="D76" s="42" t="n">
        <x:v>11</x:v>
      </x:c>
      <x:c r="E76" t="str">
        <x:v>V122521</x:v>
      </x:c>
      <x:c r="F76" s="36" t="str">
        <x:v>https://www.bankofcanada.ca/wp-content/uploads/2010/09/selected_historical_v122521.pdf</x:v>
      </x:c>
    </x:row>
    <x:row r="77">
      <x:c r="A77" t="str">
        <x:v>1979-04</x:v>
      </x:c>
      <x:c r="B77" t="n">
        <x:v>1979</x:v>
      </x:c>
      <x:c r="C77" t="n">
        <x:v>4</x:v>
      </x:c>
      <x:c r="D77" s="42" t="n">
        <x:v>11</x:v>
      </x:c>
      <x:c r="E77" t="str">
        <x:v>V122521</x:v>
      </x:c>
      <x:c r="F77" s="36" t="str">
        <x:v>https://www.bankofcanada.ca/wp-content/uploads/2010/09/selected_historical_v122521.pdf</x:v>
      </x:c>
    </x:row>
    <x:row r="78">
      <x:c r="A78" t="str">
        <x:v>1979-05</x:v>
      </x:c>
      <x:c r="B78" t="n">
        <x:v>1979</x:v>
      </x:c>
      <x:c r="C78" t="n">
        <x:v>5</x:v>
      </x:c>
      <x:c r="D78" s="42" t="n">
        <x:v>11.25</x:v>
      </x:c>
      <x:c r="E78" t="str">
        <x:v>V122521</x:v>
      </x:c>
      <x:c r="F78" s="36" t="str">
        <x:v>https://www.bankofcanada.ca/wp-content/uploads/2010/09/selected_historical_v122521.pdf</x:v>
      </x:c>
    </x:row>
    <x:row r="79">
      <x:c r="A79" t="str">
        <x:v>1979-06</x:v>
      </x:c>
      <x:c r="B79" t="n">
        <x:v>1979</x:v>
      </x:c>
      <x:c r="C79" t="n">
        <x:v>6</x:v>
      </x:c>
      <x:c r="D79" s="42" t="n">
        <x:v>11.25</x:v>
      </x:c>
      <x:c r="E79" t="str">
        <x:v>V122521</x:v>
      </x:c>
      <x:c r="F79" s="36" t="str">
        <x:v>https://www.bankofcanada.ca/wp-content/uploads/2010/09/selected_historical_v122521.pdf</x:v>
      </x:c>
    </x:row>
    <x:row r="80">
      <x:c r="A80" t="str">
        <x:v>1979-07</x:v>
      </x:c>
      <x:c r="B80" t="n">
        <x:v>1979</x:v>
      </x:c>
      <x:c r="C80" t="n">
        <x:v>7</x:v>
      </x:c>
      <x:c r="D80" s="42" t="n">
        <x:v>11.75</x:v>
      </x:c>
      <x:c r="E80" t="str">
        <x:v>V122521</x:v>
      </x:c>
      <x:c r="F80" s="36" t="str">
        <x:v>https://www.bankofcanada.ca/wp-content/uploads/2010/09/selected_historical_v122521.pdf</x:v>
      </x:c>
    </x:row>
    <x:row r="81">
      <x:c r="A81" t="str">
        <x:v>1979-08</x:v>
      </x:c>
      <x:c r="B81" t="n">
        <x:v>1979</x:v>
      </x:c>
      <x:c r="C81" t="n">
        <x:v>8</x:v>
      </x:c>
      <x:c r="D81" s="42" t="n">
        <x:v>12</x:v>
      </x:c>
      <x:c r="E81" t="str">
        <x:v>V122521</x:v>
      </x:c>
      <x:c r="F81" s="36" t="str">
        <x:v>https://www.bankofcanada.ca/wp-content/uploads/2010/09/selected_historical_v122521.pdf</x:v>
      </x:c>
    </x:row>
    <x:row r="82">
      <x:c r="A82" t="str">
        <x:v>1979-09</x:v>
      </x:c>
      <x:c r="B82" t="n">
        <x:v>1979</x:v>
      </x:c>
      <x:c r="C82" t="n">
        <x:v>9</x:v>
      </x:c>
      <x:c r="D82" s="42" t="n">
        <x:v>12.75</x:v>
      </x:c>
      <x:c r="E82" t="str">
        <x:v>V122521</x:v>
      </x:c>
      <x:c r="F82" s="36" t="str">
        <x:v>https://www.bankofcanada.ca/wp-content/uploads/2010/09/selected_historical_v122521.pdf</x:v>
      </x:c>
    </x:row>
    <x:row r="83">
      <x:c r="A83" t="str">
        <x:v>1979-10</x:v>
      </x:c>
      <x:c r="B83" t="n">
        <x:v>1979</x:v>
      </x:c>
      <x:c r="C83" t="n">
        <x:v>10</x:v>
      </x:c>
      <x:c r="D83" s="42" t="n">
        <x:v>14.75</x:v>
      </x:c>
      <x:c r="E83" t="str">
        <x:v>V122521</x:v>
      </x:c>
      <x:c r="F83" s="36" t="str">
        <x:v>https://www.bankofcanada.ca/wp-content/uploads/2010/09/selected_historical_v122521.pdf</x:v>
      </x:c>
    </x:row>
    <x:row r="84">
      <x:c r="A84" t="str">
        <x:v>1979-11</x:v>
      </x:c>
      <x:c r="B84" t="n">
        <x:v>1979</x:v>
      </x:c>
      <x:c r="C84" t="n">
        <x:v>11</x:v>
      </x:c>
      <x:c r="D84" s="42" t="n">
        <x:v>14.75</x:v>
      </x:c>
      <x:c r="E84" t="str">
        <x:v>V122521</x:v>
      </x:c>
      <x:c r="F84" s="36" t="str">
        <x:v>https://www.bankofcanada.ca/wp-content/uploads/2010/09/selected_historical_v122521.pdf</x:v>
      </x:c>
    </x:row>
    <x:row r="85">
      <x:c r="A85" t="str">
        <x:v>1979-12</x:v>
      </x:c>
      <x:c r="B85" t="n">
        <x:v>1979</x:v>
      </x:c>
      <x:c r="C85" t="n">
        <x:v>12</x:v>
      </x:c>
      <x:c r="D85" s="42" t="n">
        <x:v>13.25</x:v>
      </x:c>
      <x:c r="E85" t="str">
        <x:v>V122521</x:v>
      </x:c>
      <x:c r="F85" s="36" t="str">
        <x:v>https://www.bankofcanada.ca/wp-content/uploads/2010/09/selected_historical_v122521.pdf</x:v>
      </x:c>
    </x:row>
    <x:row r="86">
      <x:c r="A86" t="str">
        <x:v>1980-01</x:v>
      </x:c>
      <x:c r="B86" t="n">
        <x:v>1980</x:v>
      </x:c>
      <x:c r="C86" t="n">
        <x:v>1</x:v>
      </x:c>
      <x:c r="D86" s="42" t="n">
        <x:v>13.25</x:v>
      </x:c>
      <x:c r="E86" t="str">
        <x:v>V122521</x:v>
      </x:c>
      <x:c r="F86" s="36" t="str">
        <x:v>https://www.bankofcanada.ca/wp-content/uploads/2010/09/selected_historical_v122521.pdf</x:v>
      </x:c>
    </x:row>
    <x:row r="87">
      <x:c r="A87" t="str">
        <x:v>1980-02</x:v>
      </x:c>
      <x:c r="B87" t="n">
        <x:v>1980</x:v>
      </x:c>
      <x:c r="C87" t="n">
        <x:v>2</x:v>
      </x:c>
      <x:c r="D87" s="42" t="n">
        <x:v>14.5</x:v>
      </x:c>
      <x:c r="E87" t="str">
        <x:v>V122521</x:v>
      </x:c>
      <x:c r="F87" s="36" t="str">
        <x:v>https://www.bankofcanada.ca/wp-content/uploads/2010/09/selected_historical_v122521.pdf</x:v>
      </x:c>
    </x:row>
    <x:row r="88">
      <x:c r="A88" t="str">
        <x:v>1980-03</x:v>
      </x:c>
      <x:c r="B88" t="n">
        <x:v>1980</x:v>
      </x:c>
      <x:c r="C88" t="n">
        <x:v>3</x:v>
      </x:c>
      <x:c r="D88" s="42" t="n">
        <x:v>15.75</x:v>
      </x:c>
      <x:c r="E88" t="str">
        <x:v>V122521</x:v>
      </x:c>
      <x:c r="F88" s="36" t="str">
        <x:v>https://www.bankofcanada.ca/wp-content/uploads/2010/09/selected_historical_v122521.pdf</x:v>
      </x:c>
    </x:row>
    <x:row r="89">
      <x:c r="A89" t="str">
        <x:v>1980-04</x:v>
      </x:c>
      <x:c r="B89" t="n">
        <x:v>1980</x:v>
      </x:c>
      <x:c r="C89" t="n">
        <x:v>4</x:v>
      </x:c>
      <x:c r="D89" s="42" t="n">
        <x:v>16.75</x:v>
      </x:c>
      <x:c r="E89" t="str">
        <x:v>V122521</x:v>
      </x:c>
      <x:c r="F89" s="36" t="str">
        <x:v>https://www.bankofcanada.ca/wp-content/uploads/2010/09/selected_historical_v122521.pdf</x:v>
      </x:c>
    </x:row>
    <x:row r="90">
      <x:c r="A90" t="str">
        <x:v>1980-05</x:v>
      </x:c>
      <x:c r="B90" t="n">
        <x:v>1980</x:v>
      </x:c>
      <x:c r="C90" t="n">
        <x:v>5</x:v>
      </x:c>
      <x:c r="D90" s="42" t="n">
        <x:v>13</x:v>
      </x:c>
      <x:c r="E90" t="str">
        <x:v>V122521</x:v>
      </x:c>
      <x:c r="F90" s="36" t="str">
        <x:v>https://www.bankofcanada.ca/wp-content/uploads/2010/09/selected_historical_v122521.pdf</x:v>
      </x:c>
    </x:row>
    <x:row r="91">
      <x:c r="A91" t="str">
        <x:v>1980-06</x:v>
      </x:c>
      <x:c r="B91" t="n">
        <x:v>1980</x:v>
      </x:c>
      <x:c r="C91" t="n">
        <x:v>6</x:v>
      </x:c>
      <x:c r="D91" s="42" t="n">
        <x:v>13</x:v>
      </x:c>
      <x:c r="E91" t="str">
        <x:v>V122521</x:v>
      </x:c>
      <x:c r="F91" s="36" t="str">
        <x:v>https://www.bankofcanada.ca/wp-content/uploads/2010/09/selected_historical_v122521.pdf</x:v>
      </x:c>
    </x:row>
    <x:row r="92">
      <x:c r="A92" t="str">
        <x:v>1980-07</x:v>
      </x:c>
      <x:c r="B92" t="n">
        <x:v>1980</x:v>
      </x:c>
      <x:c r="C92" t="n">
        <x:v>7</x:v>
      </x:c>
      <x:c r="D92" s="42" t="n">
        <x:v>13.5</x:v>
      </x:c>
      <x:c r="E92" t="str">
        <x:v>V122521</x:v>
      </x:c>
      <x:c r="F92" s="36" t="str">
        <x:v>https://www.bankofcanada.ca/wp-content/uploads/2010/09/selected_historical_v122521.pdf</x:v>
      </x:c>
    </x:row>
    <x:row r="93">
      <x:c r="A93" t="str">
        <x:v>1980-08</x:v>
      </x:c>
      <x:c r="B93" t="n">
        <x:v>1980</x:v>
      </x:c>
      <x:c r="C93" t="n">
        <x:v>8</x:v>
      </x:c>
      <x:c r="D93" s="42" t="n">
        <x:v>14</x:v>
      </x:c>
      <x:c r="E93" t="str">
        <x:v>V122521</x:v>
      </x:c>
      <x:c r="F93" s="36" t="str">
        <x:v>https://www.bankofcanada.ca/wp-content/uploads/2010/09/selected_historical_v122521.pdf</x:v>
      </x:c>
    </x:row>
    <x:row r="94">
      <x:c r="A94" t="str">
        <x:v>1980-09</x:v>
      </x:c>
      <x:c r="B94" t="n">
        <x:v>1980</x:v>
      </x:c>
      <x:c r="C94" t="n">
        <x:v>9</x:v>
      </x:c>
      <x:c r="D94" s="42" t="n">
        <x:v>14.5</x:v>
      </x:c>
      <x:c r="E94" t="str">
        <x:v>V122521</x:v>
      </x:c>
      <x:c r="F94" s="36" t="str">
        <x:v>https://www.bankofcanada.ca/wp-content/uploads/2010/09/selected_historical_v122521.pdf</x:v>
      </x:c>
    </x:row>
    <x:row r="95">
      <x:c r="A95" t="str">
        <x:v>1980-10</x:v>
      </x:c>
      <x:c r="B95" t="n">
        <x:v>1980</x:v>
      </x:c>
      <x:c r="C95" t="n">
        <x:v>10</x:v>
      </x:c>
      <x:c r="D95" s="42" t="n">
        <x:v>15</x:v>
      </x:c>
      <x:c r="E95" t="str">
        <x:v>V122521</x:v>
      </x:c>
      <x:c r="F95" s="36" t="str">
        <x:v>https://www.bankofcanada.ca/wp-content/uploads/2010/09/selected_historical_v122521.pdf</x:v>
      </x:c>
    </x:row>
    <x:row r="96">
      <x:c r="A96" t="str">
        <x:v>1980-11</x:v>
      </x:c>
      <x:c r="B96" t="n">
        <x:v>1980</x:v>
      </x:c>
      <x:c r="C96" t="n">
        <x:v>11</x:v>
      </x:c>
      <x:c r="D96" s="42" t="n">
        <x:v>15</x:v>
      </x:c>
      <x:c r="E96" t="str">
        <x:v>V122521</x:v>
      </x:c>
      <x:c r="F96" s="36" t="str">
        <x:v>https://www.bankofcanada.ca/wp-content/uploads/2010/09/selected_historical_v122521.pdf</x:v>
      </x:c>
    </x:row>
    <x:row r="97">
      <x:c r="A97" t="str">
        <x:v>1980-12</x:v>
      </x:c>
      <x:c r="B97" t="n">
        <x:v>1980</x:v>
      </x:c>
      <x:c r="C97" t="n">
        <x:v>12</x:v>
      </x:c>
      <x:c r="D97" s="42" t="n">
        <x:v>16</x:v>
      </x:c>
      <x:c r="E97" t="str">
        <x:v>V122521</x:v>
      </x:c>
      <x:c r="F97" s="36" t="str">
        <x:v>https://www.bankofcanada.ca/wp-content/uploads/2010/09/selected_historical_v122521.pdf</x:v>
      </x:c>
    </x:row>
    <x:row r="98">
      <x:c r="A98" t="str">
        <x:v>1981-01</x:v>
      </x:c>
      <x:c r="B98" t="n">
        <x:v>1981</x:v>
      </x:c>
      <x:c r="C98" t="n">
        <x:v>1</x:v>
      </x:c>
      <x:c r="D98" s="42" t="n">
        <x:v>15.5</x:v>
      </x:c>
      <x:c r="E98" t="str">
        <x:v>V122521</x:v>
      </x:c>
      <x:c r="F98" s="36" t="str">
        <x:v>https://www.bankofcanada.ca/wp-content/uploads/2010/09/selected_historical_v122521.pdf</x:v>
      </x:c>
    </x:row>
    <x:row r="99">
      <x:c r="A99" t="str">
        <x:v>1981-02</x:v>
      </x:c>
      <x:c r="B99" t="n">
        <x:v>1981</x:v>
      </x:c>
      <x:c r="C99" t="n">
        <x:v>2</x:v>
      </x:c>
      <x:c r="D99" s="42" t="n">
        <x:v>15.5</x:v>
      </x:c>
      <x:c r="E99" t="str">
        <x:v>V122521</x:v>
      </x:c>
      <x:c r="F99" s="36" t="str">
        <x:v>https://www.bankofcanada.ca/wp-content/uploads/2010/09/selected_historical_v122521.pdf</x:v>
      </x:c>
    </x:row>
    <x:row r="100">
      <x:c r="A100" t="str">
        <x:v>1981-03</x:v>
      </x:c>
      <x:c r="B100" t="n">
        <x:v>1981</x:v>
      </x:c>
      <x:c r="C100" t="n">
        <x:v>3</x:v>
      </x:c>
      <x:c r="D100" s="42" t="n">
        <x:v>16</x:v>
      </x:c>
      <x:c r="E100" t="str">
        <x:v>V122521</x:v>
      </x:c>
      <x:c r="F100" s="36" t="str">
        <x:v>https://www.bankofcanada.ca/wp-content/uploads/2010/09/selected_historical_v122521.pdf</x:v>
      </x:c>
    </x:row>
    <x:row r="101">
      <x:c r="A101" t="str">
        <x:v>1981-04</x:v>
      </x:c>
      <x:c r="B101" t="n">
        <x:v>1981</x:v>
      </x:c>
      <x:c r="C101" t="n">
        <x:v>4</x:v>
      </x:c>
      <x:c r="D101" s="42" t="n">
        <x:v>17</x:v>
      </x:c>
      <x:c r="E101" t="str">
        <x:v>V122521</x:v>
      </x:c>
      <x:c r="F101" s="36" t="str">
        <x:v>https://www.bankofcanada.ca/wp-content/uploads/2010/09/selected_historical_v122521.pdf</x:v>
      </x:c>
    </x:row>
    <x:row r="102">
      <x:c r="A102" t="str">
        <x:v>1981-05</x:v>
      </x:c>
      <x:c r="B102" t="n">
        <x:v>1981</x:v>
      </x:c>
      <x:c r="C102" t="n">
        <x:v>5</x:v>
      </x:c>
      <x:c r="D102" s="42" t="n">
        <x:v>18.5</x:v>
      </x:c>
      <x:c r="E102" t="str">
        <x:v>V122521</x:v>
      </x:c>
      <x:c r="F102" s="36" t="str">
        <x:v>https://www.bankofcanada.ca/wp-content/uploads/2010/09/selected_historical_v122521.pdf</x:v>
      </x:c>
    </x:row>
    <x:row r="103">
      <x:c r="A103" t="str">
        <x:v>1981-06</x:v>
      </x:c>
      <x:c r="B103" t="n">
        <x:v>1981</x:v>
      </x:c>
      <x:c r="C103" t="n">
        <x:v>6</x:v>
      </x:c>
      <x:c r="D103" s="42" t="n">
        <x:v>18.75</x:v>
      </x:c>
      <x:c r="E103" t="str">
        <x:v>V122521</x:v>
      </x:c>
      <x:c r="F103" s="36" t="str">
        <x:v>https://www.bankofcanada.ca/wp-content/uploads/2010/09/selected_historical_v122521.pdf</x:v>
      </x:c>
    </x:row>
    <x:row r="104">
      <x:c r="A104" t="str">
        <x:v>1981-07</x:v>
      </x:c>
      <x:c r="B104" t="n">
        <x:v>1981</x:v>
      </x:c>
      <x:c r="C104" t="n">
        <x:v>7</x:v>
      </x:c>
      <x:c r="D104" s="42" t="n">
        <x:v>20</x:v>
      </x:c>
      <x:c r="E104" t="str">
        <x:v>V122521</x:v>
      </x:c>
      <x:c r="F104" s="36" t="str">
        <x:v>https://www.bankofcanada.ca/wp-content/uploads/2010/09/selected_historical_v122521.pdf</x:v>
      </x:c>
    </x:row>
    <x:row r="105">
      <x:c r="A105" t="str">
        <x:v>1981-08</x:v>
      </x:c>
      <x:c r="B105" t="n">
        <x:v>1981</x:v>
      </x:c>
      <x:c r="C105" t="n">
        <x:v>8</x:v>
      </x:c>
      <x:c r="D105" s="42" t="n">
        <x:v>21.75</x:v>
      </x:c>
      <x:c r="E105" t="str">
        <x:v>V122521</x:v>
      </x:c>
      <x:c r="F105" s="36" t="str">
        <x:v>https://www.bankofcanada.ca/wp-content/uploads/2010/09/selected_historical_v122521.pdf</x:v>
      </x:c>
    </x:row>
    <x:row r="106">
      <x:c r="A106" t="str">
        <x:v>1981-09</x:v>
      </x:c>
      <x:c r="B106" t="n">
        <x:v>1981</x:v>
      </x:c>
      <x:c r="C106" t="n">
        <x:v>9</x:v>
      </x:c>
      <x:c r="D106" s="42" t="n">
        <x:v>21.75</x:v>
      </x:c>
      <x:c r="E106" t="str">
        <x:v>V122521</x:v>
      </x:c>
      <x:c r="F106" s="36" t="str">
        <x:v>https://www.bankofcanada.ca/wp-content/uploads/2010/09/selected_historical_v122521.pdf</x:v>
      </x:c>
    </x:row>
    <x:row r="107">
      <x:c r="A107" t="str">
        <x:v>1981-10</x:v>
      </x:c>
      <x:c r="B107" t="n">
        <x:v>1981</x:v>
      </x:c>
      <x:c r="C107" t="n">
        <x:v>10</x:v>
      </x:c>
      <x:c r="D107" s="42" t="n">
        <x:v>20.25</x:v>
      </x:c>
      <x:c r="E107" t="str">
        <x:v>V122521</x:v>
      </x:c>
      <x:c r="F107" s="36" t="str">
        <x:v>https://www.bankofcanada.ca/wp-content/uploads/2010/09/selected_historical_v122521.pdf</x:v>
      </x:c>
    </x:row>
    <x:row r="108">
      <x:c r="A108" t="str">
        <x:v>1981-11</x:v>
      </x:c>
      <x:c r="B108" t="n">
        <x:v>1981</x:v>
      </x:c>
      <x:c r="C108" t="n">
        <x:v>11</x:v>
      </x:c>
      <x:c r="D108" s="42" t="n">
        <x:v>17.75</x:v>
      </x:c>
      <x:c r="E108" t="str">
        <x:v>V122521</x:v>
      </x:c>
      <x:c r="F108" s="36" t="str">
        <x:v>https://www.bankofcanada.ca/wp-content/uploads/2010/09/selected_historical_v122521.pdf</x:v>
      </x:c>
    </x:row>
    <x:row r="109">
      <x:c r="A109" t="str">
        <x:v>1981-12</x:v>
      </x:c>
      <x:c r="B109" t="n">
        <x:v>1981</x:v>
      </x:c>
      <x:c r="C109" t="n">
        <x:v>12</x:v>
      </x:c>
      <x:c r="D109" s="42" t="n">
        <x:v>17.75</x:v>
      </x:c>
      <x:c r="E109" t="str">
        <x:v>V122521</x:v>
      </x:c>
      <x:c r="F109" s="36" t="str">
        <x:v>https://www.bankofcanada.ca/wp-content/uploads/2010/09/selected_historical_v122521.pdf</x:v>
      </x:c>
    </x:row>
    <x:row r="110">
      <x:c r="A110" t="str">
        <x:v>1982-01</x:v>
      </x:c>
      <x:c r="B110" t="n">
        <x:v>1982</x:v>
      </x:c>
      <x:c r="C110" t="n">
        <x:v>1</x:v>
      </x:c>
      <x:c r="D110" s="42" t="n">
        <x:v>18.75</x:v>
      </x:c>
      <x:c r="E110" t="str">
        <x:v>V122521</x:v>
      </x:c>
      <x:c r="F110" s="36" t="str">
        <x:v>https://www.bankofcanada.ca/wp-content/uploads/2010/09/selected_historical_v122521.pdf</x:v>
      </x:c>
    </x:row>
    <x:row r="111">
      <x:c r="A111" t="str">
        <x:v>1982-02</x:v>
      </x:c>
      <x:c r="B111" t="n">
        <x:v>1982</x:v>
      </x:c>
      <x:c r="C111" t="n">
        <x:v>2</x:v>
      </x:c>
      <x:c r="D111" s="42" t="n">
        <x:v>19.5</x:v>
      </x:c>
      <x:c r="E111" t="str">
        <x:v>V122521</x:v>
      </x:c>
      <x:c r="F111" s="36" t="str">
        <x:v>https://www.bankofcanada.ca/wp-content/uploads/2010/09/selected_historical_v122521.pdf</x:v>
      </x:c>
    </x:row>
    <x:row r="112">
      <x:c r="A112" t="str">
        <x:v>1982-03</x:v>
      </x:c>
      <x:c r="B112" t="n">
        <x:v>1982</x:v>
      </x:c>
      <x:c r="C112" t="n">
        <x:v>3</x:v>
      </x:c>
      <x:c r="D112" s="42" t="n">
        <x:v>19.5</x:v>
      </x:c>
      <x:c r="E112" t="str">
        <x:v>V122521</x:v>
      </x:c>
      <x:c r="F112" s="36" t="str">
        <x:v>https://www.bankofcanada.ca/wp-content/uploads/2010/09/selected_historical_v122521.pdf</x:v>
      </x:c>
    </x:row>
    <x:row r="113">
      <x:c r="A113" t="str">
        <x:v>1982-04</x:v>
      </x:c>
      <x:c r="B113" t="n">
        <x:v>1982</x:v>
      </x:c>
      <x:c r="C113" t="n">
        <x:v>4</x:v>
      </x:c>
      <x:c r="D113" s="42" t="n">
        <x:v>19.5</x:v>
      </x:c>
      <x:c r="E113" t="str">
        <x:v>V122521</x:v>
      </x:c>
      <x:c r="F113" s="36" t="str">
        <x:v>https://www.bankofcanada.ca/wp-content/uploads/2010/09/selected_historical_v122521.pdf</x:v>
      </x:c>
    </x:row>
    <x:row r="114">
      <x:c r="A114" t="str">
        <x:v>1982-05</x:v>
      </x:c>
      <x:c r="B114" t="n">
        <x:v>1982</x:v>
      </x:c>
      <x:c r="C114" t="n">
        <x:v>5</x:v>
      </x:c>
      <x:c r="D114" s="42" t="n">
        <x:v>19.5</x:v>
      </x:c>
      <x:c r="E114" t="str">
        <x:v>V122521</x:v>
      </x:c>
      <x:c r="F114" s="36" t="str">
        <x:v>https://www.bankofcanada.ca/wp-content/uploads/2010/09/selected_historical_v122521.pdf</x:v>
      </x:c>
    </x:row>
    <x:row r="115">
      <x:c r="A115" t="str">
        <x:v>1982-06</x:v>
      </x:c>
      <x:c r="B115" t="n">
        <x:v>1982</x:v>
      </x:c>
      <x:c r="C115" t="n">
        <x:v>6</x:v>
      </x:c>
      <x:c r="D115" s="42" t="n">
        <x:v>19.75</x:v>
      </x:c>
      <x:c r="E115" t="str">
        <x:v>V122521</x:v>
      </x:c>
      <x:c r="F115" s="36" t="str">
        <x:v>https://www.bankofcanada.ca/wp-content/uploads/2010/09/selected_historical_v122521.pdf</x:v>
      </x:c>
    </x:row>
    <x:row r="116">
      <x:c r="A116" t="str">
        <x:v>1982-07</x:v>
      </x:c>
      <x:c r="B116" t="n">
        <x:v>1982</x:v>
      </x:c>
      <x:c r="C116" t="n">
        <x:v>7</x:v>
      </x:c>
      <x:c r="D116" s="42" t="n">
        <x:v>19.25</x:v>
      </x:c>
      <x:c r="E116" t="str">
        <x:v>V122521</x:v>
      </x:c>
      <x:c r="F116" s="36" t="str">
        <x:v>https://www.bankofcanada.ca/wp-content/uploads/2010/09/selected_historical_v122521.pdf</x:v>
      </x:c>
    </x:row>
    <x:row r="117">
      <x:c r="A117" t="str">
        <x:v>1982-08</x:v>
      </x:c>
      <x:c r="B117" t="n">
        <x:v>1982</x:v>
      </x:c>
      <x:c r="C117" t="n">
        <x:v>8</x:v>
      </x:c>
      <x:c r="D117" s="42" t="n">
        <x:v>18.25</x:v>
      </x:c>
      <x:c r="E117" t="str">
        <x:v>V122521</x:v>
      </x:c>
      <x:c r="F117" s="36" t="str">
        <x:v>https://www.bankofcanada.ca/wp-content/uploads/2010/09/selected_historical_v122521.pdf</x:v>
      </x:c>
    </x:row>
    <x:row r="118">
      <x:c r="A118" t="str">
        <x:v>1982-09</x:v>
      </x:c>
      <x:c r="B118" t="n">
        <x:v>1982</x:v>
      </x:c>
      <x:c r="C118" t="n">
        <x:v>9</x:v>
      </x:c>
      <x:c r="D118" s="42" t="n">
        <x:v>17.25</x:v>
      </x:c>
      <x:c r="E118" t="str">
        <x:v>V122521</x:v>
      </x:c>
      <x:c r="F118" s="36" t="str">
        <x:v>https://www.bankofcanada.ca/wp-content/uploads/2010/09/selected_historical_v122521.pdf</x:v>
      </x:c>
    </x:row>
    <x:row r="119">
      <x:c r="A119" t="str">
        <x:v>1982-10</x:v>
      </x:c>
      <x:c r="B119" t="n">
        <x:v>1982</x:v>
      </x:c>
      <x:c r="C119" t="n">
        <x:v>10</x:v>
      </x:c>
      <x:c r="D119" s="42" t="n">
        <x:v>15.75</x:v>
      </x:c>
      <x:c r="E119" t="str">
        <x:v>V122521</x:v>
      </x:c>
      <x:c r="F119" s="36" t="str">
        <x:v>https://www.bankofcanada.ca/wp-content/uploads/2010/09/selected_historical_v122521.pdf</x:v>
      </x:c>
    </x:row>
    <x:row r="120">
      <x:c r="A120" t="str">
        <x:v>1982-11</x:v>
      </x:c>
      <x:c r="B120" t="n">
        <x:v>1982</x:v>
      </x:c>
      <x:c r="C120" t="n">
        <x:v>11</x:v>
      </x:c>
      <x:c r="D120" s="42" t="n">
        <x:v>14.75</x:v>
      </x:c>
      <x:c r="E120" t="str">
        <x:v>V122521</x:v>
      </x:c>
      <x:c r="F120" s="36" t="str">
        <x:v>https://www.bankofcanada.ca/wp-content/uploads/2010/09/selected_historical_v122521.pdf</x:v>
      </x:c>
    </x:row>
    <x:row r="121">
      <x:c r="A121" t="str">
        <x:v>1982-12</x:v>
      </x:c>
      <x:c r="B121" t="n">
        <x:v>1982</x:v>
      </x:c>
      <x:c r="C121" t="n">
        <x:v>12</x:v>
      </x:c>
      <x:c r="D121" s="42" t="n">
        <x:v>14.75</x:v>
      </x:c>
      <x:c r="E121" t="str">
        <x:v>V122521</x:v>
      </x:c>
      <x:c r="F121" s="36" t="str">
        <x:v>https://www.bankofcanada.ca/wp-content/uploads/2010/09/selected_historical_v122521.pdf</x:v>
      </x:c>
    </x:row>
    <x:row r="122">
      <x:c r="A122" t="str">
        <x:v>1983-01</x:v>
      </x:c>
      <x:c r="B122" t="n">
        <x:v>1983</x:v>
      </x:c>
      <x:c r="C122" t="n">
        <x:v>1</x:v>
      </x:c>
      <x:c r="D122" s="42" t="n">
        <x:v>13.5</x:v>
      </x:c>
      <x:c r="E122" t="str">
        <x:v>V122521</x:v>
      </x:c>
      <x:c r="F122" s="36" t="str">
        <x:v>https://www.bankofcanada.ca/wp-content/uploads/2010/09/selected_historical_v122521.pdf</x:v>
      </x:c>
    </x:row>
    <x:row r="123">
      <x:c r="A123" t="str">
        <x:v>1983-02</x:v>
      </x:c>
      <x:c r="B123" t="n">
        <x:v>1983</x:v>
      </x:c>
      <x:c r="C123" t="n">
        <x:v>2</x:v>
      </x:c>
      <x:c r="D123" s="42" t="n">
        <x:v>13.5</x:v>
      </x:c>
      <x:c r="E123" t="str">
        <x:v>V122521</x:v>
      </x:c>
      <x:c r="F123" s="36" t="str">
        <x:v>https://www.bankofcanada.ca/wp-content/uploads/2010/09/selected_historical_v122521.pdf</x:v>
      </x:c>
    </x:row>
    <x:row r="124">
      <x:c r="A124" t="str">
        <x:v>1983-03</x:v>
      </x:c>
      <x:c r="B124" t="n">
        <x:v>1983</x:v>
      </x:c>
      <x:c r="C124" t="n">
        <x:v>3</x:v>
      </x:c>
      <x:c r="D124" s="42" t="n">
        <x:v>13.5</x:v>
      </x:c>
      <x:c r="E124" t="str">
        <x:v>V122521</x:v>
      </x:c>
      <x:c r="F124" s="36" t="str">
        <x:v>https://www.bankofcanada.ca/wp-content/uploads/2010/09/selected_historical_v122521.pdf</x:v>
      </x:c>
    </x:row>
    <x:row r="125">
      <x:c r="A125" t="str">
        <x:v>1983-04</x:v>
      </x:c>
      <x:c r="B125" t="n">
        <x:v>1983</x:v>
      </x:c>
      <x:c r="C125" t="n">
        <x:v>4</x:v>
      </x:c>
      <x:c r="D125" s="42" t="n">
        <x:v>13.25</x:v>
      </x:c>
      <x:c r="E125" t="str">
        <x:v>V122521</x:v>
      </x:c>
      <x:c r="F125" s="36" t="str">
        <x:v>https://www.bankofcanada.ca/wp-content/uploads/2010/09/selected_historical_v122521.pdf</x:v>
      </x:c>
    </x:row>
    <x:row r="126">
      <x:c r="A126" t="str">
        <x:v>1983-05</x:v>
      </x:c>
      <x:c r="B126" t="n">
        <x:v>1983</x:v>
      </x:c>
      <x:c r="C126" t="n">
        <x:v>5</x:v>
      </x:c>
      <x:c r="D126" s="42" t="n">
        <x:v>13</x:v>
      </x:c>
      <x:c r="E126" t="str">
        <x:v>V122521</x:v>
      </x:c>
      <x:c r="F126" s="36" t="str">
        <x:v>https://www.bankofcanada.ca/wp-content/uploads/2010/09/selected_historical_v122521.pdf</x:v>
      </x:c>
    </x:row>
    <x:row r="127">
      <x:c r="A127" t="str">
        <x:v>1983-06</x:v>
      </x:c>
      <x:c r="B127" t="n">
        <x:v>1983</x:v>
      </x:c>
      <x:c r="C127" t="n">
        <x:v>6</x:v>
      </x:c>
      <x:c r="D127" s="42" t="n">
        <x:v>13</x:v>
      </x:c>
      <x:c r="E127" t="str">
        <x:v>V122521</x:v>
      </x:c>
      <x:c r="F127" s="36" t="str">
        <x:v>https://www.bankofcanada.ca/wp-content/uploads/2010/09/selected_historical_v122521.pdf</x:v>
      </x:c>
    </x:row>
    <x:row r="128">
      <x:c r="A128" t="str">
        <x:v>1983-07</x:v>
      </x:c>
      <x:c r="B128" t="n">
        <x:v>1983</x:v>
      </x:c>
      <x:c r="C128" t="n">
        <x:v>7</x:v>
      </x:c>
      <x:c r="D128" s="42" t="n">
        <x:v>13.5</x:v>
      </x:c>
      <x:c r="E128" t="str">
        <x:v>V122521</x:v>
      </x:c>
      <x:c r="F128" s="36" t="str">
        <x:v>https://www.bankofcanada.ca/wp-content/uploads/2010/09/selected_historical_v122521.pdf</x:v>
      </x:c>
    </x:row>
    <x:row r="129">
      <x:c r="A129" t="str">
        <x:v>1983-08</x:v>
      </x:c>
      <x:c r="B129" t="n">
        <x:v>1983</x:v>
      </x:c>
      <x:c r="C129" t="n">
        <x:v>8</x:v>
      </x:c>
      <x:c r="D129" s="42" t="n">
        <x:v>14</x:v>
      </x:c>
      <x:c r="E129" t="str">
        <x:v>V122521</x:v>
      </x:c>
      <x:c r="F129" s="36" t="str">
        <x:v>https://www.bankofcanada.ca/wp-content/uploads/2010/09/selected_historical_v122521.pdf</x:v>
      </x:c>
    </x:row>
    <x:row r="130">
      <x:c r="A130" t="str">
        <x:v>1983-09</x:v>
      </x:c>
      <x:c r="B130" t="n">
        <x:v>1983</x:v>
      </x:c>
      <x:c r="C130" t="n">
        <x:v>9</x:v>
      </x:c>
      <x:c r="D130" s="42" t="n">
        <x:v>13.5</x:v>
      </x:c>
      <x:c r="E130" t="str">
        <x:v>V122521</x:v>
      </x:c>
      <x:c r="F130" s="36" t="str">
        <x:v>https://www.bankofcanada.ca/wp-content/uploads/2010/09/selected_historical_v122521.pdf</x:v>
      </x:c>
    </x:row>
    <x:row r="131">
      <x:c r="A131" t="str">
        <x:v>1983-10</x:v>
      </x:c>
      <x:c r="B131" t="n">
        <x:v>1983</x:v>
      </x:c>
      <x:c r="C131" t="n">
        <x:v>10</x:v>
      </x:c>
      <x:c r="D131" s="42" t="n">
        <x:v>13</x:v>
      </x:c>
      <x:c r="E131" t="str">
        <x:v>V122521</x:v>
      </x:c>
      <x:c r="F131" s="36" t="str">
        <x:v>https://www.bankofcanada.ca/wp-content/uploads/2010/09/selected_historical_v122521.pdf</x:v>
      </x:c>
    </x:row>
    <x:row r="132">
      <x:c r="A132" t="str">
        <x:v>1983-11</x:v>
      </x:c>
      <x:c r="B132" t="n">
        <x:v>1983</x:v>
      </x:c>
      <x:c r="C132" t="n">
        <x:v>11</x:v>
      </x:c>
      <x:c r="D132" s="42" t="n">
        <x:v>12.5</x:v>
      </x:c>
      <x:c r="E132" t="str">
        <x:v>V122521</x:v>
      </x:c>
      <x:c r="F132" s="36" t="str">
        <x:v>https://www.bankofcanada.ca/wp-content/uploads/2010/09/selected_historical_v122521.pdf</x:v>
      </x:c>
    </x:row>
    <x:row r="133">
      <x:c r="A133" t="str">
        <x:v>1983-12</x:v>
      </x:c>
      <x:c r="B133" t="n">
        <x:v>1983</x:v>
      </x:c>
      <x:c r="C133" t="n">
        <x:v>12</x:v>
      </x:c>
      <x:c r="D133" s="42" t="n">
        <x:v>12.5</x:v>
      </x:c>
      <x:c r="E133" t="str">
        <x:v>V122521</x:v>
      </x:c>
      <x:c r="F133" s="36" t="str">
        <x:v>https://www.bankofcanada.ca/wp-content/uploads/2010/09/selected_historical_v122521.pdf</x:v>
      </x:c>
    </x:row>
    <x:row r="134">
      <x:c r="A134" t="str">
        <x:v>1984-01</x:v>
      </x:c>
      <x:c r="B134" t="n">
        <x:v>1984</x:v>
      </x:c>
      <x:c r="C134" t="n">
        <x:v>1</x:v>
      </x:c>
      <x:c r="D134" s="42" t="n">
        <x:v>12.5</x:v>
      </x:c>
      <x:c r="E134" t="str">
        <x:v>V122521</x:v>
      </x:c>
      <x:c r="F134" s="36" t="str">
        <x:v>https://www.bankofcanada.ca/wp-content/uploads/2010/09/selected_historical_v122521.pdf</x:v>
      </x:c>
    </x:row>
    <x:row r="135">
      <x:c r="A135" t="str">
        <x:v>1984-02</x:v>
      </x:c>
      <x:c r="B135" t="n">
        <x:v>1984</x:v>
      </x:c>
      <x:c r="C135" t="n">
        <x:v>2</x:v>
      </x:c>
      <x:c r="D135" s="42" t="n">
        <x:v>12.5</x:v>
      </x:c>
      <x:c r="E135" t="str">
        <x:v>V122521</x:v>
      </x:c>
      <x:c r="F135" s="36" t="str">
        <x:v>https://www.bankofcanada.ca/wp-content/uploads/2010/09/selected_historical_v122521.pdf</x:v>
      </x:c>
    </x:row>
    <x:row r="136">
      <x:c r="A136" t="str">
        <x:v>1984-03</x:v>
      </x:c>
      <x:c r="B136" t="n">
        <x:v>1984</x:v>
      </x:c>
      <x:c r="C136" t="n">
        <x:v>3</x:v>
      </x:c>
      <x:c r="D136" s="42" t="n">
        <x:v>13.25</x:v>
      </x:c>
      <x:c r="E136" t="str">
        <x:v>V122521</x:v>
      </x:c>
      <x:c r="F136" s="36" t="str">
        <x:v>https://www.bankofcanada.ca/wp-content/uploads/2010/09/selected_historical_v122521.pdf</x:v>
      </x:c>
    </x:row>
    <x:row r="137">
      <x:c r="A137" t="str">
        <x:v>1984-04</x:v>
      </x:c>
      <x:c r="B137" t="n">
        <x:v>1984</x:v>
      </x:c>
      <x:c r="C137" t="n">
        <x:v>4</x:v>
      </x:c>
      <x:c r="D137" s="42" t="n">
        <x:v>13.5</x:v>
      </x:c>
      <x:c r="E137" t="str">
        <x:v>V122521</x:v>
      </x:c>
      <x:c r="F137" s="36" t="str">
        <x:v>https://www.bankofcanada.ca/wp-content/uploads/2010/09/selected_historical_v122521.pdf</x:v>
      </x:c>
    </x:row>
    <x:row r="138">
      <x:c r="A138" t="str">
        <x:v>1984-05</x:v>
      </x:c>
      <x:c r="B138" t="n">
        <x:v>1984</x:v>
      </x:c>
      <x:c r="C138" t="n">
        <x:v>5</x:v>
      </x:c>
      <x:c r="D138" s="42" t="n">
        <x:v>14.5</x:v>
      </x:c>
      <x:c r="E138" t="str">
        <x:v>V122521</x:v>
      </x:c>
      <x:c r="F138" s="36" t="str">
        <x:v>https://www.bankofcanada.ca/wp-content/uploads/2010/09/selected_historical_v122521.pdf</x:v>
      </x:c>
    </x:row>
    <x:row r="139">
      <x:c r="A139" t="str">
        <x:v>1984-06</x:v>
      </x:c>
      <x:c r="B139" t="n">
        <x:v>1984</x:v>
      </x:c>
      <x:c r="C139" t="n">
        <x:v>6</x:v>
      </x:c>
      <x:c r="D139" s="42" t="n">
        <x:v>14.5</x:v>
      </x:c>
      <x:c r="E139" t="str">
        <x:v>V122521</x:v>
      </x:c>
      <x:c r="F139" s="36" t="str">
        <x:v>https://www.bankofcanada.ca/wp-content/uploads/2010/09/selected_historical_v122521.pdf</x:v>
      </x:c>
    </x:row>
    <x:row r="140">
      <x:c r="A140" t="str">
        <x:v>1984-07</x:v>
      </x:c>
      <x:c r="B140" t="n">
        <x:v>1984</x:v>
      </x:c>
      <x:c r="C140" t="n">
        <x:v>7</x:v>
      </x:c>
      <x:c r="D140" s="42" t="n">
        <x:v>15.25</x:v>
      </x:c>
      <x:c r="E140" t="str">
        <x:v>V122521</x:v>
      </x:c>
      <x:c r="F140" s="36" t="str">
        <x:v>https://www.bankofcanada.ca/wp-content/uploads/2010/09/selected_historical_v122521.pdf</x:v>
      </x:c>
    </x:row>
    <x:row r="141">
      <x:c r="A141" t="str">
        <x:v>1984-08</x:v>
      </x:c>
      <x:c r="B141" t="n">
        <x:v>1984</x:v>
      </x:c>
      <x:c r="C141" t="n">
        <x:v>8</x:v>
      </x:c>
      <x:c r="D141" s="42" t="n">
        <x:v>14.25</x:v>
      </x:c>
      <x:c r="E141" t="str">
        <x:v>V122521</x:v>
      </x:c>
      <x:c r="F141" s="36" t="str">
        <x:v>https://www.bankofcanada.ca/wp-content/uploads/2010/09/selected_historical_v122521.pdf</x:v>
      </x:c>
    </x:row>
    <x:row r="142">
      <x:c r="A142" t="str">
        <x:v>1984-09</x:v>
      </x:c>
      <x:c r="B142" t="n">
        <x:v>1984</x:v>
      </x:c>
      <x:c r="C142" t="n">
        <x:v>9</x:v>
      </x:c>
      <x:c r="D142" s="42" t="n">
        <x:v>13.75</x:v>
      </x:c>
      <x:c r="E142" t="str">
        <x:v>V122521</x:v>
      </x:c>
      <x:c r="F142" s="36" t="str">
        <x:v>https://www.bankofcanada.ca/wp-content/uploads/2010/09/selected_historical_v122521.pdf</x:v>
      </x:c>
    </x:row>
    <x:row r="143">
      <x:c r="A143" t="str">
        <x:v>1984-10</x:v>
      </x:c>
      <x:c r="B143" t="n">
        <x:v>1984</x:v>
      </x:c>
      <x:c r="C143" t="n">
        <x:v>10</x:v>
      </x:c>
      <x:c r="D143" s="42" t="n">
        <x:v>13.5</x:v>
      </x:c>
      <x:c r="E143" t="str">
        <x:v>V122521</x:v>
      </x:c>
      <x:c r="F143" s="36" t="str">
        <x:v>https://www.bankofcanada.ca/wp-content/uploads/2010/09/selected_historical_v122521.pdf</x:v>
      </x:c>
    </x:row>
    <x:row r="144">
      <x:c r="A144" t="str">
        <x:v>1984-11</x:v>
      </x:c>
      <x:c r="B144" t="n">
        <x:v>1984</x:v>
      </x:c>
      <x:c r="C144" t="n">
        <x:v>11</x:v>
      </x:c>
      <x:c r="D144" s="42" t="n">
        <x:v>13</x:v>
      </x:c>
      <x:c r="E144" t="str">
        <x:v>V122521</x:v>
      </x:c>
      <x:c r="F144" s="36" t="str">
        <x:v>https://www.bankofcanada.ca/wp-content/uploads/2010/09/selected_historical_v122521.pdf</x:v>
      </x:c>
    </x:row>
    <x:row r="145">
      <x:c r="A145" t="str">
        <x:v>1984-12</x:v>
      </x:c>
      <x:c r="B145" t="n">
        <x:v>1984</x:v>
      </x:c>
      <x:c r="C145" t="n">
        <x:v>12</x:v>
      </x:c>
      <x:c r="D145" s="42" t="n">
        <x:v>12.5</x:v>
      </x:c>
      <x:c r="E145" t="str">
        <x:v>V122521</x:v>
      </x:c>
      <x:c r="F145" s="36" t="str">
        <x:v>https://www.bankofcanada.ca/wp-content/uploads/2010/09/selected_historical_v122521.pdf</x:v>
      </x:c>
    </x:row>
    <x:row r="146">
      <x:c r="A146" t="str">
        <x:v>1985-01</x:v>
      </x:c>
      <x:c r="B146" t="n">
        <x:v>1985</x:v>
      </x:c>
      <x:c r="C146" t="n">
        <x:v>1</x:v>
      </x:c>
      <x:c r="D146" s="42" t="n">
        <x:v>12.25</x:v>
      </x:c>
      <x:c r="E146" t="str">
        <x:v>V122521</x:v>
      </x:c>
      <x:c r="F146" s="36" t="str">
        <x:v>https://www.bankofcanada.ca/wp-content/uploads/2010/09/selected_historical_v122521.pdf</x:v>
      </x:c>
    </x:row>
    <x:row r="147">
      <x:c r="A147" t="str">
        <x:v>1985-02</x:v>
      </x:c>
      <x:c r="B147" t="n">
        <x:v>1985</x:v>
      </x:c>
      <x:c r="C147" t="n">
        <x:v>2</x:v>
      </x:c>
      <x:c r="D147" s="42" t="n">
        <x:v>13.25</x:v>
      </x:c>
      <x:c r="E147" t="str">
        <x:v>V122521</x:v>
      </x:c>
      <x:c r="F147" s="36" t="str">
        <x:v>https://www.bankofcanada.ca/wp-content/uploads/2010/09/selected_historical_v122521.pdf</x:v>
      </x:c>
    </x:row>
    <x:row r="148">
      <x:c r="A148" t="str">
        <x:v>1985-03</x:v>
      </x:c>
      <x:c r="B148" t="n">
        <x:v>1985</x:v>
      </x:c>
      <x:c r="C148" t="n">
        <x:v>3</x:v>
      </x:c>
      <x:c r="D148" s="42" t="n">
        <x:v>13.25</x:v>
      </x:c>
      <x:c r="E148" t="str">
        <x:v>V122521</x:v>
      </x:c>
      <x:c r="F148" s="36" t="str">
        <x:v>https://www.bankofcanada.ca/wp-content/uploads/2010/09/selected_historical_v122521.pdf</x:v>
      </x:c>
    </x:row>
    <x:row r="149">
      <x:c r="A149" t="str">
        <x:v>1985-04</x:v>
      </x:c>
      <x:c r="B149" t="n">
        <x:v>1985</x:v>
      </x:c>
      <x:c r="C149" t="n">
        <x:v>4</x:v>
      </x:c>
      <x:c r="D149" s="42" t="n">
        <x:v>12.5</x:v>
      </x:c>
      <x:c r="E149" t="str">
        <x:v>V122521</x:v>
      </x:c>
      <x:c r="F149" s="36" t="str">
        <x:v>https://www.bankofcanada.ca/wp-content/uploads/2010/09/selected_historical_v122521.pdf</x:v>
      </x:c>
    </x:row>
    <x:row r="150">
      <x:c r="A150" t="str">
        <x:v>1985-05</x:v>
      </x:c>
      <x:c r="B150" t="n">
        <x:v>1985</x:v>
      </x:c>
      <x:c r="C150" t="n">
        <x:v>5</x:v>
      </x:c>
      <x:c r="D150" s="42" t="n">
        <x:v>12.25</x:v>
      </x:c>
      <x:c r="E150" t="str">
        <x:v>V122521</x:v>
      </x:c>
      <x:c r="F150" s="36" t="str">
        <x:v>https://www.bankofcanada.ca/wp-content/uploads/2010/09/selected_historical_v122521.pdf</x:v>
      </x:c>
    </x:row>
    <x:row r="151">
      <x:c r="A151" t="str">
        <x:v>1985-06</x:v>
      </x:c>
      <x:c r="B151" t="n">
        <x:v>1985</x:v>
      </x:c>
      <x:c r="C151" t="n">
        <x:v>6</x:v>
      </x:c>
      <x:c r="D151" s="42" t="n">
        <x:v>11.75</x:v>
      </x:c>
      <x:c r="E151" t="str">
        <x:v>V122521</x:v>
      </x:c>
      <x:c r="F151" s="36" t="str">
        <x:v>https://www.bankofcanada.ca/wp-content/uploads/2010/09/selected_historical_v122521.pdf</x:v>
      </x:c>
    </x:row>
    <x:row r="152">
      <x:c r="A152" t="str">
        <x:v>1985-07</x:v>
      </x:c>
      <x:c r="B152" t="n">
        <x:v>1985</x:v>
      </x:c>
      <x:c r="C152" t="n">
        <x:v>7</x:v>
      </x:c>
      <x:c r="D152" s="42" t="n">
        <x:v>11.75</x:v>
      </x:c>
      <x:c r="E152" t="str">
        <x:v>V122521</x:v>
      </x:c>
      <x:c r="F152" s="36" t="str">
        <x:v>https://www.bankofcanada.ca/wp-content/uploads/2010/09/selected_historical_v122521.pdf</x:v>
      </x:c>
    </x:row>
    <x:row r="153">
      <x:c r="A153" t="str">
        <x:v>1985-08</x:v>
      </x:c>
      <x:c r="B153" t="n">
        <x:v>1985</x:v>
      </x:c>
      <x:c r="C153" t="n">
        <x:v>8</x:v>
      </x:c>
      <x:c r="D153" s="42" t="n">
        <x:v>11.75</x:v>
      </x:c>
      <x:c r="E153" t="str">
        <x:v>V122521</x:v>
      </x:c>
      <x:c r="F153" s="36" t="str">
        <x:v>https://www.bankofcanada.ca/wp-content/uploads/2010/09/selected_historical_v122521.pdf</x:v>
      </x:c>
    </x:row>
    <x:row r="154">
      <x:c r="A154" t="str">
        <x:v>1985-09</x:v>
      </x:c>
      <x:c r="B154" t="n">
        <x:v>1985</x:v>
      </x:c>
      <x:c r="C154" t="n">
        <x:v>9</x:v>
      </x:c>
      <x:c r="D154" s="42" t="n">
        <x:v>11.75</x:v>
      </x:c>
      <x:c r="E154" t="str">
        <x:v>V122521</x:v>
      </x:c>
      <x:c r="F154" s="36" t="str">
        <x:v>https://www.bankofcanada.ca/wp-content/uploads/2010/09/selected_historical_v122521.pdf</x:v>
      </x:c>
    </x:row>
    <x:row r="155">
      <x:c r="A155" t="str">
        <x:v>1985-10</x:v>
      </x:c>
      <x:c r="B155" t="n">
        <x:v>1985</x:v>
      </x:c>
      <x:c r="C155" t="n">
        <x:v>10</x:v>
      </x:c>
      <x:c r="D155" s="42" t="n">
        <x:v>11.75</x:v>
      </x:c>
      <x:c r="E155" t="str">
        <x:v>V122521</x:v>
      </x:c>
      <x:c r="F155" s="36" t="str">
        <x:v>https://www.bankofcanada.ca/wp-content/uploads/2010/09/selected_historical_v122521.pdf</x:v>
      </x:c>
    </x:row>
    <x:row r="156">
      <x:c r="A156" t="str">
        <x:v>1985-11</x:v>
      </x:c>
      <x:c r="B156" t="n">
        <x:v>1985</x:v>
      </x:c>
      <x:c r="C156" t="n">
        <x:v>11</x:v>
      </x:c>
      <x:c r="D156" s="42" t="n">
        <x:v>11.75</x:v>
      </x:c>
      <x:c r="E156" t="str">
        <x:v>V122521</x:v>
      </x:c>
      <x:c r="F156" s="36" t="str">
        <x:v>https://www.bankofcanada.ca/wp-content/uploads/2010/09/selected_historical_v122521.pdf</x:v>
      </x:c>
    </x:row>
    <x:row r="157">
      <x:c r="A157" t="str">
        <x:v>1985-12</x:v>
      </x:c>
      <x:c r="B157" t="n">
        <x:v>1985</x:v>
      </x:c>
      <x:c r="C157" t="n">
        <x:v>12</x:v>
      </x:c>
      <x:c r="D157" s="42" t="n">
        <x:v>11.5</x:v>
      </x:c>
      <x:c r="E157" t="str">
        <x:v>V122521</x:v>
      </x:c>
      <x:c r="F157" s="36" t="str">
        <x:v>https://www.bankofcanada.ca/wp-content/uploads/2010/09/selected_historical_v122521.pdf</x:v>
      </x:c>
    </x:row>
    <x:row r="158">
      <x:c r="A158" t="str">
        <x:v>1986-01</x:v>
      </x:c>
      <x:c r="B158" t="n">
        <x:v>1986</x:v>
      </x:c>
      <x:c r="C158" t="n">
        <x:v>1</x:v>
      </x:c>
      <x:c r="D158" s="42" t="n">
        <x:v>11.75</x:v>
      </x:c>
      <x:c r="E158" t="str">
        <x:v>V122521</x:v>
      </x:c>
      <x:c r="F158" s="36" t="str">
        <x:v>https://www.bankofcanada.ca/wp-content/uploads/2010/09/selected_historical_v122521.pdf</x:v>
      </x:c>
    </x:row>
    <x:row r="159">
      <x:c r="A159" t="str">
        <x:v>1986-02</x:v>
      </x:c>
      <x:c r="B159" t="n">
        <x:v>1986</x:v>
      </x:c>
      <x:c r="C159" t="n">
        <x:v>2</x:v>
      </x:c>
      <x:c r="D159" s="42" t="n">
        <x:v>12</x:v>
      </x:c>
      <x:c r="E159" t="str">
        <x:v>V122521</x:v>
      </x:c>
      <x:c r="F159" s="36" t="str">
        <x:v>https://www.bankofcanada.ca/wp-content/uploads/2010/09/selected_historical_v122521.pdf</x:v>
      </x:c>
    </x:row>
    <x:row r="160">
      <x:c r="A160" t="str">
        <x:v>1986-03</x:v>
      </x:c>
      <x:c r="B160" t="n">
        <x:v>1986</x:v>
      </x:c>
      <x:c r="C160" t="n">
        <x:v>3</x:v>
      </x:c>
      <x:c r="D160" s="42" t="n">
        <x:v>11.5</x:v>
      </x:c>
      <x:c r="E160" t="str">
        <x:v>V122521</x:v>
      </x:c>
      <x:c r="F160" s="36" t="str">
        <x:v>https://www.bankofcanada.ca/wp-content/uploads/2010/09/selected_historical_v122521.pdf</x:v>
      </x:c>
    </x:row>
    <x:row r="161">
      <x:c r="A161" t="str">
        <x:v>1986-04</x:v>
      </x:c>
      <x:c r="B161" t="n">
        <x:v>1986</x:v>
      </x:c>
      <x:c r="C161" t="n">
        <x:v>4</x:v>
      </x:c>
      <x:c r="D161" s="42" t="n">
        <x:v>11</x:v>
      </x:c>
      <x:c r="E161" t="str">
        <x:v>V122521</x:v>
      </x:c>
      <x:c r="F161" s="36" t="str">
        <x:v>https://www.bankofcanada.ca/wp-content/uploads/2010/09/selected_historical_v122521.pdf</x:v>
      </x:c>
    </x:row>
    <x:row r="162">
      <x:c r="A162" t="str">
        <x:v>1986-05</x:v>
      </x:c>
      <x:c r="B162" t="n">
        <x:v>1986</x:v>
      </x:c>
      <x:c r="C162" t="n">
        <x:v>5</x:v>
      </x:c>
      <x:c r="D162" s="42" t="n">
        <x:v>10.5</x:v>
      </x:c>
      <x:c r="E162" t="str">
        <x:v>V122521</x:v>
      </x:c>
      <x:c r="F162" s="36" t="str">
        <x:v>https://www.bankofcanada.ca/wp-content/uploads/2010/09/selected_historical_v122521.pdf</x:v>
      </x:c>
    </x:row>
    <x:row r="163">
      <x:c r="A163" t="str">
        <x:v>1986-06</x:v>
      </x:c>
      <x:c r="B163" t="n">
        <x:v>1986</x:v>
      </x:c>
      <x:c r="C163" t="n">
        <x:v>6</x:v>
      </x:c>
      <x:c r="D163" s="42" t="n">
        <x:v>11</x:v>
      </x:c>
      <x:c r="E163" t="str">
        <x:v>V122521</x:v>
      </x:c>
      <x:c r="F163" s="36" t="str">
        <x:v>https://www.bankofcanada.ca/wp-content/uploads/2010/09/selected_historical_v122521.pdf</x:v>
      </x:c>
    </x:row>
    <x:row r="164">
      <x:c r="A164" t="str">
        <x:v>1986-07</x:v>
      </x:c>
      <x:c r="B164" t="n">
        <x:v>1986</x:v>
      </x:c>
      <x:c r="C164" t="n">
        <x:v>7</x:v>
      </x:c>
      <x:c r="D164" s="42" t="n">
        <x:v>11</x:v>
      </x:c>
      <x:c r="E164" t="str">
        <x:v>V122521</x:v>
      </x:c>
      <x:c r="F164" s="36" t="str">
        <x:v>https://www.bankofcanada.ca/wp-content/uploads/2010/09/selected_historical_v122521.pdf</x:v>
      </x:c>
    </x:row>
    <x:row r="165">
      <x:c r="A165" t="str">
        <x:v>1986-08</x:v>
      </x:c>
      <x:c r="B165" t="n">
        <x:v>1986</x:v>
      </x:c>
      <x:c r="C165" t="n">
        <x:v>8</x:v>
      </x:c>
      <x:c r="D165" s="42" t="n">
        <x:v>11</x:v>
      </x:c>
      <x:c r="E165" t="str">
        <x:v>V122521</x:v>
      </x:c>
      <x:c r="F165" s="36" t="str">
        <x:v>https://www.bankofcanada.ca/wp-content/uploads/2010/09/selected_historical_v122521.pdf</x:v>
      </x:c>
    </x:row>
    <x:row r="166">
      <x:c r="A166" t="str">
        <x:v>1986-09</x:v>
      </x:c>
      <x:c r="B166" t="n">
        <x:v>1986</x:v>
      </x:c>
      <x:c r="C166" t="n">
        <x:v>9</x:v>
      </x:c>
      <x:c r="D166" s="42" t="n">
        <x:v>11.25</x:v>
      </x:c>
      <x:c r="E166" t="str">
        <x:v>V122521</x:v>
      </x:c>
      <x:c r="F166" s="36" t="str">
        <x:v>https://www.bankofcanada.ca/wp-content/uploads/2010/09/selected_historical_v122521.pdf</x:v>
      </x:c>
    </x:row>
    <x:row r="167">
      <x:c r="A167" t="str">
        <x:v>1986-10</x:v>
      </x:c>
      <x:c r="B167" t="n">
        <x:v>1986</x:v>
      </x:c>
      <x:c r="C167" t="n">
        <x:v>10</x:v>
      </x:c>
      <x:c r="D167" s="42" t="n">
        <x:v>11.25</x:v>
      </x:c>
      <x:c r="E167" t="str">
        <x:v>V122521</x:v>
      </x:c>
      <x:c r="F167" s="36" t="str">
        <x:v>https://www.bankofcanada.ca/wp-content/uploads/2010/09/selected_historical_v122521.pdf</x:v>
      </x:c>
    </x:row>
    <x:row r="168">
      <x:c r="A168" t="str">
        <x:v>1986-11</x:v>
      </x:c>
      <x:c r="B168" t="n">
        <x:v>1986</x:v>
      </x:c>
      <x:c r="C168" t="n">
        <x:v>11</x:v>
      </x:c>
      <x:c r="D168" s="42" t="n">
        <x:v>11.25</x:v>
      </x:c>
      <x:c r="E168" t="str">
        <x:v>V122521</x:v>
      </x:c>
      <x:c r="F168" s="36" t="str">
        <x:v>https://www.bankofcanada.ca/wp-content/uploads/2010/09/selected_historical_v122521.pdf</x:v>
      </x:c>
    </x:row>
    <x:row r="169">
      <x:c r="A169" t="str">
        <x:v>1986-12</x:v>
      </x:c>
      <x:c r="B169" t="n">
        <x:v>1986</x:v>
      </x:c>
      <x:c r="C169" t="n">
        <x:v>12</x:v>
      </x:c>
      <x:c r="D169" s="42" t="n">
        <x:v>11</x:v>
      </x:c>
      <x:c r="E169" t="str">
        <x:v>V122521</x:v>
      </x:c>
      <x:c r="F169" s="36" t="str">
        <x:v>https://www.bankofcanada.ca/wp-content/uploads/2010/09/selected_historical_v122521.pdf</x:v>
      </x:c>
    </x:row>
    <x:row r="170">
      <x:c r="A170" t="str">
        <x:v>1987-01</x:v>
      </x:c>
      <x:c r="B170" t="n">
        <x:v>1987</x:v>
      </x:c>
      <x:c r="C170" t="n">
        <x:v>1</x:v>
      </x:c>
      <x:c r="D170" s="42" t="n">
        <x:v>10.5</x:v>
      </x:c>
      <x:c r="E170" t="str">
        <x:v>V122521</x:v>
      </x:c>
      <x:c r="F170" s="36" t="str">
        <x:v>https://www.bankofcanada.ca/wp-content/uploads/2010/09/selected_historical_v122521.pdf</x:v>
      </x:c>
    </x:row>
    <x:row r="171">
      <x:c r="A171" t="str">
        <x:v>1987-02</x:v>
      </x:c>
      <x:c r="B171" t="n">
        <x:v>1987</x:v>
      </x:c>
      <x:c r="C171" t="n">
        <x:v>2</x:v>
      </x:c>
      <x:c r="D171" s="42" t="n">
        <x:v>10.5</x:v>
      </x:c>
      <x:c r="E171" t="str">
        <x:v>V122521</x:v>
      </x:c>
      <x:c r="F171" s="36" t="str">
        <x:v>https://www.bankofcanada.ca/wp-content/uploads/2010/09/selected_historical_v122521.pdf</x:v>
      </x:c>
    </x:row>
    <x:row r="172">
      <x:c r="A172" t="str">
        <x:v>1987-03</x:v>
      </x:c>
      <x:c r="B172" t="n">
        <x:v>1987</x:v>
      </x:c>
      <x:c r="C172" t="n">
        <x:v>3</x:v>
      </x:c>
      <x:c r="D172" s="42" t="n">
        <x:v>10</x:v>
      </x:c>
      <x:c r="E172" t="str">
        <x:v>V122521</x:v>
      </x:c>
      <x:c r="F172" s="36" t="str">
        <x:v>https://www.bankofcanada.ca/wp-content/uploads/2010/09/selected_historical_v122521.pdf</x:v>
      </x:c>
    </x:row>
    <x:row r="173">
      <x:c r="A173" t="str">
        <x:v>1987-04</x:v>
      </x:c>
      <x:c r="B173" t="n">
        <x:v>1987</x:v>
      </x:c>
      <x:c r="C173" t="n">
        <x:v>4</x:v>
      </x:c>
      <x:c r="D173" s="42" t="n">
        <x:v>11</x:v>
      </x:c>
      <x:c r="E173" t="str">
        <x:v>V122521</x:v>
      </x:c>
      <x:c r="F173" s="36" t="str">
        <x:v>https://www.bankofcanada.ca/wp-content/uploads/2010/09/selected_historical_v122521.pdf</x:v>
      </x:c>
    </x:row>
    <x:row r="174">
      <x:c r="A174" t="str">
        <x:v>1987-05</x:v>
      </x:c>
      <x:c r="B174" t="n">
        <x:v>1987</x:v>
      </x:c>
      <x:c r="C174" t="n">
        <x:v>5</x:v>
      </x:c>
      <x:c r="D174" s="42" t="n">
        <x:v>11.25</x:v>
      </x:c>
      <x:c r="E174" t="str">
        <x:v>V122521</x:v>
      </x:c>
      <x:c r="F174" s="36" t="str">
        <x:v>https://www.bankofcanada.ca/wp-content/uploads/2010/09/selected_historical_v122521.pdf</x:v>
      </x:c>
    </x:row>
    <x:row r="175">
      <x:c r="A175" t="str">
        <x:v>1987-06</x:v>
      </x:c>
      <x:c r="B175" t="n">
        <x:v>1987</x:v>
      </x:c>
      <x:c r="C175" t="n">
        <x:v>6</x:v>
      </x:c>
      <x:c r="D175" s="42" t="n">
        <x:v>11.25</x:v>
      </x:c>
      <x:c r="E175" t="str">
        <x:v>V122521</x:v>
      </x:c>
      <x:c r="F175" s="36" t="str">
        <x:v>https://www.bankofcanada.ca/wp-content/uploads/2010/09/selected_historical_v122521.pdf</x:v>
      </x:c>
    </x:row>
    <x:row r="176">
      <x:c r="A176" t="str">
        <x:v>1987-07</x:v>
      </x:c>
      <x:c r="B176" t="n">
        <x:v>1987</x:v>
      </x:c>
      <x:c r="C176" t="n">
        <x:v>7</x:v>
      </x:c>
      <x:c r="D176" s="42" t="n">
        <x:v>11.25</x:v>
      </x:c>
      <x:c r="E176" t="str">
        <x:v>V122521</x:v>
      </x:c>
      <x:c r="F176" s="36" t="str">
        <x:v>https://www.bankofcanada.ca/wp-content/uploads/2010/09/selected_historical_v122521.pdf</x:v>
      </x:c>
    </x:row>
    <x:row r="177">
      <x:c r="A177" t="str">
        <x:v>1987-08</x:v>
      </x:c>
      <x:c r="B177" t="n">
        <x:v>1987</x:v>
      </x:c>
      <x:c r="C177" t="n">
        <x:v>8</x:v>
      </x:c>
      <x:c r="D177" s="42" t="n">
        <x:v>11.5</x:v>
      </x:c>
      <x:c r="E177" t="str">
        <x:v>V122521</x:v>
      </x:c>
      <x:c r="F177" s="36" t="str">
        <x:v>https://www.bankofcanada.ca/wp-content/uploads/2010/09/selected_historical_v122521.pdf</x:v>
      </x:c>
    </x:row>
    <x:row r="178">
      <x:c r="A178" t="str">
        <x:v>1987-09</x:v>
      </x:c>
      <x:c r="B178" t="n">
        <x:v>1987</x:v>
      </x:c>
      <x:c r="C178" t="n">
        <x:v>9</x:v>
      </x:c>
      <x:c r="D178" s="42" t="n">
        <x:v>12</x:v>
      </x:c>
      <x:c r="E178" t="str">
        <x:v>V122521</x:v>
      </x:c>
      <x:c r="F178" s="36" t="str">
        <x:v>https://www.bankofcanada.ca/wp-content/uploads/2010/09/selected_historical_v122521.pdf</x:v>
      </x:c>
    </x:row>
    <x:row r="179">
      <x:c r="A179" t="str">
        <x:v>1987-10</x:v>
      </x:c>
      <x:c r="B179" t="n">
        <x:v>1987</x:v>
      </x:c>
      <x:c r="C179" t="n">
        <x:v>10</x:v>
      </x:c>
      <x:c r="D179" s="42" t="n">
        <x:v>11.5</x:v>
      </x:c>
      <x:c r="E179" t="str">
        <x:v>V122521</x:v>
      </x:c>
      <x:c r="F179" s="36" t="str">
        <x:v>https://www.bankofcanada.ca/wp-content/uploads/2010/09/selected_historical_v122521.pdf</x:v>
      </x:c>
    </x:row>
    <x:row r="180">
      <x:c r="A180" t="str">
        <x:v>1987-11</x:v>
      </x:c>
      <x:c r="B180" t="n">
        <x:v>1987</x:v>
      </x:c>
      <x:c r="C180" t="n">
        <x:v>11</x:v>
      </x:c>
      <x:c r="D180" s="42" t="n">
        <x:v>11.5</x:v>
      </x:c>
      <x:c r="E180" t="str">
        <x:v>V122521</x:v>
      </x:c>
      <x:c r="F180" s="36" t="str">
        <x:v>https://www.bankofcanada.ca/wp-content/uploads/2010/09/selected_historical_v122521.pdf</x:v>
      </x:c>
    </x:row>
    <x:row r="181">
      <x:c r="A181" t="str">
        <x:v>1987-12</x:v>
      </x:c>
      <x:c r="B181" t="n">
        <x:v>1987</x:v>
      </x:c>
      <x:c r="C181" t="n">
        <x:v>12</x:v>
      </x:c>
      <x:c r="D181" s="42" t="n">
        <x:v>11.75</x:v>
      </x:c>
      <x:c r="E181" t="str">
        <x:v>V122521</x:v>
      </x:c>
      <x:c r="F181" s="36" t="str">
        <x:v>https://www.bankofcanada.ca/wp-content/uploads/2010/09/selected_historical_v122521.pdf</x:v>
      </x:c>
    </x:row>
    <x:row r="182">
      <x:c r="A182" t="str">
        <x:v>1988-01</x:v>
      </x:c>
      <x:c r="B182" t="n">
        <x:v>1988</x:v>
      </x:c>
      <x:c r="C182" t="n">
        <x:v>1</x:v>
      </x:c>
      <x:c r="D182" s="42" t="n">
        <x:v>11.75</x:v>
      </x:c>
      <x:c r="E182" t="str">
        <x:v>V122521</x:v>
      </x:c>
      <x:c r="F182" s="36" t="str">
        <x:v>https://www.bankofcanada.ca/wp-content/uploads/2010/09/selected_historical_v122521.pdf</x:v>
      </x:c>
    </x:row>
    <x:row r="183">
      <x:c r="A183" t="str">
        <x:v>1988-02</x:v>
      </x:c>
      <x:c r="B183" t="n">
        <x:v>1988</x:v>
      </x:c>
      <x:c r="C183" t="n">
        <x:v>2</x:v>
      </x:c>
      <x:c r="D183" s="42" t="n">
        <x:v>11.5</x:v>
      </x:c>
      <x:c r="E183" t="str">
        <x:v>V122521</x:v>
      </x:c>
      <x:c r="F183" s="36" t="str">
        <x:v>https://www.bankofcanada.ca/wp-content/uploads/2010/09/selected_historical_v122521.pdf</x:v>
      </x:c>
    </x:row>
    <x:row r="184">
      <x:c r="A184" t="str">
        <x:v>1988-03</x:v>
      </x:c>
      <x:c r="B184" t="n">
        <x:v>1988</x:v>
      </x:c>
      <x:c r="C184" t="n">
        <x:v>3</x:v>
      </x:c>
      <x:c r="D184" s="42" t="n">
        <x:v>11</x:v>
      </x:c>
      <x:c r="E184" t="str">
        <x:v>V122521</x:v>
      </x:c>
      <x:c r="F184" s="36" t="str">
        <x:v>https://www.bankofcanada.ca/wp-content/uploads/2010/09/selected_historical_v122521.pdf</x:v>
      </x:c>
    </x:row>
    <x:row r="185">
      <x:c r="A185" t="str">
        <x:v>1988-04</x:v>
      </x:c>
      <x:c r="B185" t="n">
        <x:v>1988</x:v>
      </x:c>
      <x:c r="C185" t="n">
        <x:v>4</x:v>
      </x:c>
      <x:c r="D185" s="42" t="n">
        <x:v>11.25</x:v>
      </x:c>
      <x:c r="E185" t="str">
        <x:v>V122521</x:v>
      </x:c>
      <x:c r="F185" s="36" t="str">
        <x:v>https://www.bankofcanada.ca/wp-content/uploads/2010/09/selected_historical_v122521.pdf</x:v>
      </x:c>
    </x:row>
    <x:row r="186">
      <x:c r="A186" t="str">
        <x:v>1988-05</x:v>
      </x:c>
      <x:c r="B186" t="n">
        <x:v>1988</x:v>
      </x:c>
      <x:c r="C186" t="n">
        <x:v>5</x:v>
      </x:c>
      <x:c r="D186" s="42" t="n">
        <x:v>11.25</x:v>
      </x:c>
      <x:c r="E186" t="str">
        <x:v>V122521</x:v>
      </x:c>
      <x:c r="F186" s="36" t="str">
        <x:v>https://www.bankofcanada.ca/wp-content/uploads/2010/09/selected_historical_v122521.pdf</x:v>
      </x:c>
    </x:row>
    <x:row r="187">
      <x:c r="A187" t="str">
        <x:v>1988-06</x:v>
      </x:c>
      <x:c r="B187" t="n">
        <x:v>1988</x:v>
      </x:c>
      <x:c r="C187" t="n">
        <x:v>6</x:v>
      </x:c>
      <x:c r="D187" s="42" t="n">
        <x:v>11.25</x:v>
      </x:c>
      <x:c r="E187" t="str">
        <x:v>V122521</x:v>
      </x:c>
      <x:c r="F187" s="36" t="str">
        <x:v>https://www.bankofcanada.ca/wp-content/uploads/2010/09/selected_historical_v122521.pdf</x:v>
      </x:c>
    </x:row>
    <x:row r="188">
      <x:c r="A188" t="str">
        <x:v>1988-07</x:v>
      </x:c>
      <x:c r="B188" t="n">
        <x:v>1988</x:v>
      </x:c>
      <x:c r="C188" t="n">
        <x:v>7</x:v>
      </x:c>
      <x:c r="D188" s="42" t="n">
        <x:v>11.75</x:v>
      </x:c>
      <x:c r="E188" t="str">
        <x:v>V122521</x:v>
      </x:c>
      <x:c r="F188" s="36" t="str">
        <x:v>https://www.bankofcanada.ca/wp-content/uploads/2010/09/selected_historical_v122521.pdf</x:v>
      </x:c>
    </x:row>
    <x:row r="189">
      <x:c r="A189" t="str">
        <x:v>1988-08</x:v>
      </x:c>
      <x:c r="B189" t="n">
        <x:v>1988</x:v>
      </x:c>
      <x:c r="C189" t="n">
        <x:v>8</x:v>
      </x:c>
      <x:c r="D189" s="42" t="n">
        <x:v>12.25</x:v>
      </x:c>
      <x:c r="E189" t="str">
        <x:v>V122521</x:v>
      </x:c>
      <x:c r="F189" s="36" t="str">
        <x:v>https://www.bankofcanada.ca/wp-content/uploads/2010/09/selected_historical_v122521.pdf</x:v>
      </x:c>
    </x:row>
    <x:row r="190">
      <x:c r="A190" t="str">
        <x:v>1988-09</x:v>
      </x:c>
      <x:c r="B190" t="n">
        <x:v>1988</x:v>
      </x:c>
      <x:c r="C190" t="n">
        <x:v>9</x:v>
      </x:c>
      <x:c r="D190" s="42" t="n">
        <x:v>11.75</x:v>
      </x:c>
      <x:c r="E190" t="str">
        <x:v>V122521</x:v>
      </x:c>
      <x:c r="F190" s="36" t="str">
        <x:v>https://www.bankofcanada.ca/wp-content/uploads/2010/09/selected_historical_v122521.pdf</x:v>
      </x:c>
    </x:row>
    <x:row r="191">
      <x:c r="A191" t="str">
        <x:v>1988-10</x:v>
      </x:c>
      <x:c r="B191" t="n">
        <x:v>1988</x:v>
      </x:c>
      <x:c r="C191" t="n">
        <x:v>10</x:v>
      </x:c>
      <x:c r="D191" s="42" t="n">
        <x:v>11.75</x:v>
      </x:c>
      <x:c r="E191" t="str">
        <x:v>V122521</x:v>
      </x:c>
      <x:c r="F191" s="36" t="str">
        <x:v>https://www.bankofcanada.ca/wp-content/uploads/2010/09/selected_historical_v122521.pdf</x:v>
      </x:c>
    </x:row>
    <x:row r="192">
      <x:c r="A192" t="str">
        <x:v>1988-11</x:v>
      </x:c>
      <x:c r="B192" t="n">
        <x:v>1988</x:v>
      </x:c>
      <x:c r="C192" t="n">
        <x:v>11</x:v>
      </x:c>
      <x:c r="D192" s="42" t="n">
        <x:v>12</x:v>
      </x:c>
      <x:c r="E192" t="str">
        <x:v>V122521</x:v>
      </x:c>
      <x:c r="F192" s="36" t="str">
        <x:v>https://www.bankofcanada.ca/wp-content/uploads/2010/09/selected_historical_v122521.pdf</x:v>
      </x:c>
    </x:row>
    <x:row r="193">
      <x:c r="A193" t="str">
        <x:v>1988-12</x:v>
      </x:c>
      <x:c r="B193" t="n">
        <x:v>1988</x:v>
      </x:c>
      <x:c r="C193" t="n">
        <x:v>12</x:v>
      </x:c>
      <x:c r="D193" s="42" t="n">
        <x:v>12.25</x:v>
      </x:c>
      <x:c r="E193" t="str">
        <x:v>V122521</x:v>
      </x:c>
      <x:c r="F193" s="36" t="str">
        <x:v>https://www.bankofcanada.ca/wp-content/uploads/2010/09/selected_historical_v122521.pdf</x:v>
      </x:c>
    </x:row>
    <x:row r="194">
      <x:c r="A194" t="str">
        <x:v>1989-01</x:v>
      </x:c>
      <x:c r="B194" t="n">
        <x:v>1989</x:v>
      </x:c>
      <x:c r="C194" t="n">
        <x:v>1</x:v>
      </x:c>
      <x:c r="D194" s="42" t="n">
        <x:v>12.25</x:v>
      </x:c>
      <x:c r="E194" t="str">
        <x:v>V122521</x:v>
      </x:c>
      <x:c r="F194" s="36" t="str">
        <x:v>https://www.bankofcanada.ca/wp-content/uploads/2010/09/selected_historical_v122521.pdf</x:v>
      </x:c>
    </x:row>
    <x:row r="195">
      <x:c r="A195" t="str">
        <x:v>1989-02</x:v>
      </x:c>
      <x:c r="B195" t="n">
        <x:v>1989</x:v>
      </x:c>
      <x:c r="C195" t="n">
        <x:v>2</x:v>
      </x:c>
      <x:c r="D195" s="42" t="n">
        <x:v>12.25</x:v>
      </x:c>
      <x:c r="E195" t="str">
        <x:v>V122521</x:v>
      </x:c>
      <x:c r="F195" s="36" t="str">
        <x:v>https://www.bankofcanada.ca/wp-content/uploads/2010/09/selected_historical_v122521.pdf</x:v>
      </x:c>
    </x:row>
    <x:row r="196">
      <x:c r="A196" t="str">
        <x:v>1989-03</x:v>
      </x:c>
      <x:c r="B196" t="n">
        <x:v>1989</x:v>
      </x:c>
      <x:c r="C196" t="n">
        <x:v>3</x:v>
      </x:c>
      <x:c r="D196" s="42" t="n">
        <x:v>12.75</x:v>
      </x:c>
      <x:c r="E196" t="str">
        <x:v>V122521</x:v>
      </x:c>
      <x:c r="F196" s="36" t="str">
        <x:v>https://www.bankofcanada.ca/wp-content/uploads/2010/09/selected_historical_v122521.pdf</x:v>
      </x:c>
    </x:row>
    <x:row r="197">
      <x:c r="A197" t="str">
        <x:v>1989-04</x:v>
      </x:c>
      <x:c r="B197" t="n">
        <x:v>1989</x:v>
      </x:c>
      <x:c r="C197" t="n">
        <x:v>4</x:v>
      </x:c>
      <x:c r="D197" s="42" t="n">
        <x:v>12.75</x:v>
      </x:c>
      <x:c r="E197" t="str">
        <x:v>V122521</x:v>
      </x:c>
      <x:c r="F197" s="36" t="str">
        <x:v>https://www.bankofcanada.ca/wp-content/uploads/2010/09/selected_historical_v122521.pdf</x:v>
      </x:c>
    </x:row>
    <x:row r="198">
      <x:c r="A198" t="str">
        <x:v>1989-05</x:v>
      </x:c>
      <x:c r="B198" t="n">
        <x:v>1989</x:v>
      </x:c>
      <x:c r="C198" t="n">
        <x:v>5</x:v>
      </x:c>
      <x:c r="D198" s="42" t="n">
        <x:v>12</x:v>
      </x:c>
      <x:c r="E198" t="str">
        <x:v>V122521</x:v>
      </x:c>
      <x:c r="F198" s="36" t="str">
        <x:v>https://www.bankofcanada.ca/wp-content/uploads/2010/09/selected_historical_v122521.pdf</x:v>
      </x:c>
    </x:row>
    <x:row r="199">
      <x:c r="A199" t="str">
        <x:v>1989-06</x:v>
      </x:c>
      <x:c r="B199" t="n">
        <x:v>1989</x:v>
      </x:c>
      <x:c r="C199" t="n">
        <x:v>6</x:v>
      </x:c>
      <x:c r="D199" s="42" t="n">
        <x:v>12</x:v>
      </x:c>
      <x:c r="E199" t="str">
        <x:v>V122521</x:v>
      </x:c>
      <x:c r="F199" s="36" t="str">
        <x:v>https://www.bankofcanada.ca/wp-content/uploads/2010/09/selected_historical_v122521.pdf</x:v>
      </x:c>
    </x:row>
    <x:row r="200">
      <x:c r="A200" t="str">
        <x:v>1989-07</x:v>
      </x:c>
      <x:c r="B200" t="n">
        <x:v>1989</x:v>
      </x:c>
      <x:c r="C200" t="n">
        <x:v>7</x:v>
      </x:c>
      <x:c r="D200" s="42" t="n">
        <x:v>11.75</x:v>
      </x:c>
      <x:c r="E200" t="str">
        <x:v>V122521</x:v>
      </x:c>
      <x:c r="F200" s="36" t="str">
        <x:v>https://www.bankofcanada.ca/wp-content/uploads/2010/09/selected_historical_v122521.pdf</x:v>
      </x:c>
    </x:row>
    <x:row r="201">
      <x:c r="A201" t="str">
        <x:v>1989-08</x:v>
      </x:c>
      <x:c r="B201" t="n">
        <x:v>1989</x:v>
      </x:c>
      <x:c r="C201" t="n">
        <x:v>8</x:v>
      </x:c>
      <x:c r="D201" s="42" t="n">
        <x:v>11.75</x:v>
      </x:c>
      <x:c r="E201" t="str">
        <x:v>V122521</x:v>
      </x:c>
      <x:c r="F201" s="36" t="str">
        <x:v>https://www.bankofcanada.ca/wp-content/uploads/2010/09/selected_historical_v122521.pdf</x:v>
      </x:c>
    </x:row>
    <x:row r="202">
      <x:c r="A202" t="str">
        <x:v>1989-09</x:v>
      </x:c>
      <x:c r="B202" t="n">
        <x:v>1989</x:v>
      </x:c>
      <x:c r="C202" t="n">
        <x:v>9</x:v>
      </x:c>
      <x:c r="D202" s="42" t="n">
        <x:v>11.75</x:v>
      </x:c>
      <x:c r="E202" t="str">
        <x:v>V122521</x:v>
      </x:c>
      <x:c r="F202" s="36" t="str">
        <x:v>https://www.bankofcanada.ca/wp-content/uploads/2010/09/selected_historical_v122521.pdf</x:v>
      </x:c>
    </x:row>
    <x:row r="203">
      <x:c r="A203" t="str">
        <x:v>1989-10</x:v>
      </x:c>
      <x:c r="B203" t="n">
        <x:v>1989</x:v>
      </x:c>
      <x:c r="C203" t="n">
        <x:v>10</x:v>
      </x:c>
      <x:c r="D203" s="42" t="n">
        <x:v>11.75</x:v>
      </x:c>
      <x:c r="E203" t="str">
        <x:v>V122521</x:v>
      </x:c>
      <x:c r="F203" s="36" t="str">
        <x:v>https://www.bankofcanada.ca/wp-content/uploads/2010/09/selected_historical_v122521.pdf</x:v>
      </x:c>
    </x:row>
    <x:row r="204">
      <x:c r="A204" t="str">
        <x:v>1989-11</x:v>
      </x:c>
      <x:c r="B204" t="n">
        <x:v>1989</x:v>
      </x:c>
      <x:c r="C204" t="n">
        <x:v>11</x:v>
      </x:c>
      <x:c r="D204" s="42" t="n">
        <x:v>11.75</x:v>
      </x:c>
      <x:c r="E204" t="str">
        <x:v>V122521</x:v>
      </x:c>
      <x:c r="F204" s="36" t="str">
        <x:v>https://www.bankofcanada.ca/wp-content/uploads/2010/09/selected_historical_v122521.pdf</x:v>
      </x:c>
    </x:row>
    <x:row r="205">
      <x:c r="A205" t="str">
        <x:v>1989-12</x:v>
      </x:c>
      <x:c r="B205" t="n">
        <x:v>1989</x:v>
      </x:c>
      <x:c r="C205" t="n">
        <x:v>12</x:v>
      </x:c>
      <x:c r="D205" s="42" t="n">
        <x:v>12</x:v>
      </x:c>
      <x:c r="E205" t="str">
        <x:v>V122521</x:v>
      </x:c>
      <x:c r="F205" s="36" t="str">
        <x:v>https://www.bankofcanada.ca/wp-content/uploads/2010/09/selected_historical_v122521.pdf</x:v>
      </x:c>
    </x:row>
    <x:row r="206">
      <x:c r="A206" t="str">
        <x:v>1990-01</x:v>
      </x:c>
      <x:c r="B206" t="n">
        <x:v>1990</x:v>
      </x:c>
      <x:c r="C206" t="n">
        <x:v>1</x:v>
      </x:c>
      <x:c r="D206" s="42" t="n">
        <x:v>12</x:v>
      </x:c>
      <x:c r="E206" t="str">
        <x:v>V122521</x:v>
      </x:c>
      <x:c r="F206" s="36" t="str">
        <x:v>https://www.bankofcanada.ca/wp-content/uploads/2010/09/selected_historical_v122521.pdf</x:v>
      </x:c>
    </x:row>
    <x:row r="207">
      <x:c r="A207" t="str">
        <x:v>1990-02</x:v>
      </x:c>
      <x:c r="B207" t="n">
        <x:v>1990</x:v>
      </x:c>
      <x:c r="C207" t="n">
        <x:v>2</x:v>
      </x:c>
      <x:c r="D207" s="42" t="n">
        <x:v>12.75</x:v>
      </x:c>
      <x:c r="E207" t="str">
        <x:v>V122521</x:v>
      </x:c>
      <x:c r="F207" s="36" t="str">
        <x:v>https://www.bankofcanada.ca/wp-content/uploads/2010/09/selected_historical_v122521.pdf</x:v>
      </x:c>
    </x:row>
    <x:row r="208">
      <x:c r="A208" t="str">
        <x:v>1990-03</x:v>
      </x:c>
      <x:c r="B208" t="n">
        <x:v>1990</x:v>
      </x:c>
      <x:c r="C208" t="n">
        <x:v>3</x:v>
      </x:c>
      <x:c r="D208" s="42" t="n">
        <x:v>13.25</x:v>
      </x:c>
      <x:c r="E208" t="str">
        <x:v>V122521</x:v>
      </x:c>
      <x:c r="F208" s="36" t="str">
        <x:v>https://www.bankofcanada.ca/wp-content/uploads/2010/09/selected_historical_v122521.pdf</x:v>
      </x:c>
    </x:row>
    <x:row r="209">
      <x:c r="A209" t="str">
        <x:v>1990-04</x:v>
      </x:c>
      <x:c r="B209" t="n">
        <x:v>1990</x:v>
      </x:c>
      <x:c r="C209" t="n">
        <x:v>4</x:v>
      </x:c>
      <x:c r="D209" s="42" t="n">
        <x:v>14.25</x:v>
      </x:c>
      <x:c r="E209" t="str">
        <x:v>V122521</x:v>
      </x:c>
      <x:c r="F209" s="36" t="str">
        <x:v>https://www.bankofcanada.ca/wp-content/uploads/2010/09/selected_historical_v122521.pdf</x:v>
      </x:c>
    </x:row>
    <x:row r="210">
      <x:c r="A210" t="str">
        <x:v>1990-05</x:v>
      </x:c>
      <x:c r="B210" t="n">
        <x:v>1990</x:v>
      </x:c>
      <x:c r="C210" t="n">
        <x:v>5</x:v>
      </x:c>
      <x:c r="D210" s="42" t="n">
        <x:v>14.25</x:v>
      </x:c>
      <x:c r="E210" t="str">
        <x:v>V122521</x:v>
      </x:c>
      <x:c r="F210" s="36" t="str">
        <x:v>https://www.bankofcanada.ca/wp-content/uploads/2010/09/selected_historical_v122521.pdf</x:v>
      </x:c>
    </x:row>
    <x:row r="211">
      <x:c r="A211" t="str">
        <x:v>1990-06</x:v>
      </x:c>
      <x:c r="B211" t="n">
        <x:v>1990</x:v>
      </x:c>
      <x:c r="C211" t="n">
        <x:v>6</x:v>
      </x:c>
      <x:c r="D211" s="42" t="n">
        <x:v>14.25</x:v>
      </x:c>
      <x:c r="E211" t="str">
        <x:v>V122521</x:v>
      </x:c>
      <x:c r="F211" s="36" t="str">
        <x:v>https://www.bankofcanada.ca/wp-content/uploads/2010/09/selected_historical_v122521.pdf</x:v>
      </x:c>
    </x:row>
    <x:row r="212">
      <x:c r="A212" t="str">
        <x:v>1990-07</x:v>
      </x:c>
      <x:c r="B212" t="n">
        <x:v>1990</x:v>
      </x:c>
      <x:c r="C212" t="n">
        <x:v>7</x:v>
      </x:c>
      <x:c r="D212" s="42" t="n">
        <x:v>14.25</x:v>
      </x:c>
      <x:c r="E212" t="str">
        <x:v>V122521</x:v>
      </x:c>
      <x:c r="F212" s="36" t="str">
        <x:v>https://www.bankofcanada.ca/wp-content/uploads/2010/09/selected_historical_v122521.pdf</x:v>
      </x:c>
    </x:row>
    <x:row r="213">
      <x:c r="A213" t="str">
        <x:v>1990-08</x:v>
      </x:c>
      <x:c r="B213" t="n">
        <x:v>1990</x:v>
      </x:c>
      <x:c r="C213" t="n">
        <x:v>8</x:v>
      </x:c>
      <x:c r="D213" s="42" t="n">
        <x:v>13.5</x:v>
      </x:c>
      <x:c r="E213" t="str">
        <x:v>V122521</x:v>
      </x:c>
      <x:c r="F213" s="36" t="str">
        <x:v>https://www.bankofcanada.ca/wp-content/uploads/2010/09/selected_historical_v122521.pdf</x:v>
      </x:c>
    </x:row>
    <x:row r="214">
      <x:c r="A214" t="str">
        <x:v>1990-09</x:v>
      </x:c>
      <x:c r="B214" t="n">
        <x:v>1990</x:v>
      </x:c>
      <x:c r="C214" t="n">
        <x:v>9</x:v>
      </x:c>
      <x:c r="D214" s="42" t="n">
        <x:v>13.25</x:v>
      </x:c>
      <x:c r="E214" t="str">
        <x:v>V122521</x:v>
      </x:c>
      <x:c r="F214" s="36" t="str">
        <x:v>https://www.bankofcanada.ca/wp-content/uploads/2010/09/selected_historical_v122521.pdf</x:v>
      </x:c>
    </x:row>
    <x:row r="215">
      <x:c r="A215" t="str">
        <x:v>1990-10</x:v>
      </x:c>
      <x:c r="B215" t="n">
        <x:v>1990</x:v>
      </x:c>
      <x:c r="C215" t="n">
        <x:v>10</x:v>
      </x:c>
      <x:c r="D215" s="42" t="n">
        <x:v>13.25</x:v>
      </x:c>
      <x:c r="E215" t="str">
        <x:v>V122521</x:v>
      </x:c>
      <x:c r="F215" s="36" t="str">
        <x:v>https://www.bankofcanada.ca/wp-content/uploads/2010/09/selected_historical_v122521.pdf</x:v>
      </x:c>
    </x:row>
    <x:row r="216">
      <x:c r="A216" t="str">
        <x:v>1990-11</x:v>
      </x:c>
      <x:c r="B216" t="n">
        <x:v>1990</x:v>
      </x:c>
      <x:c r="C216" t="n">
        <x:v>11</x:v>
      </x:c>
      <x:c r="D216" s="42" t="n">
        <x:v>12.75</x:v>
      </x:c>
      <x:c r="E216" t="str">
        <x:v>V122521</x:v>
      </x:c>
      <x:c r="F216" s="36" t="str">
        <x:v>https://www.bankofcanada.ca/wp-content/uploads/2010/09/selected_historical_v122521.pdf</x:v>
      </x:c>
    </x:row>
    <x:row r="217">
      <x:c r="A217" t="str">
        <x:v>1990-12</x:v>
      </x:c>
      <x:c r="B217" t="n">
        <x:v>1990</x:v>
      </x:c>
      <x:c r="C217" t="n">
        <x:v>12</x:v>
      </x:c>
      <x:c r="D217" s="42" t="n">
        <x:v>12.5</x:v>
      </x:c>
      <x:c r="E217" t="str">
        <x:v>V122521</x:v>
      </x:c>
      <x:c r="F217" s="36" t="str">
        <x:v>https://www.bankofcanada.ca/wp-content/uploads/2010/09/selected_historical_v122521.pdf</x:v>
      </x:c>
    </x:row>
    <x:row r="218">
      <x:c r="A218" t="str">
        <x:v>1991-01</x:v>
      </x:c>
      <x:c r="B218" t="n">
        <x:v>1991</x:v>
      </x:c>
      <x:c r="C218" t="n">
        <x:v>1</x:v>
      </x:c>
      <x:c r="D218" s="42" t="n">
        <x:v>12</x:v>
      </x:c>
      <x:c r="E218" t="str">
        <x:v>V122521</x:v>
      </x:c>
      <x:c r="F218" s="36" t="str">
        <x:v>https://www.bankofcanada.ca/wp-content/uploads/2010/09/selected_historical_v122521.pdf</x:v>
      </x:c>
    </x:row>
    <x:row r="219">
      <x:c r="A219" t="str">
        <x:v>1991-02</x:v>
      </x:c>
      <x:c r="B219" t="n">
        <x:v>1991</x:v>
      </x:c>
      <x:c r="C219" t="n">
        <x:v>2</x:v>
      </x:c>
      <x:c r="D219" s="42" t="n">
        <x:v>11.5</x:v>
      </x:c>
      <x:c r="E219" t="str">
        <x:v>V122521</x:v>
      </x:c>
      <x:c r="F219" s="36" t="str">
        <x:v>https://www.bankofcanada.ca/wp-content/uploads/2010/09/selected_historical_v122521.pdf</x:v>
      </x:c>
    </x:row>
    <x:row r="220">
      <x:c r="A220" t="str">
        <x:v>1991-03</x:v>
      </x:c>
      <x:c r="B220" t="n">
        <x:v>1991</x:v>
      </x:c>
      <x:c r="C220" t="n">
        <x:v>3</x:v>
      </x:c>
      <x:c r="D220" s="42" t="n">
        <x:v>11.5</x:v>
      </x:c>
      <x:c r="E220" t="str">
        <x:v>V122521</x:v>
      </x:c>
      <x:c r="F220" s="36" t="str">
        <x:v>https://www.bankofcanada.ca/wp-content/uploads/2010/09/selected_historical_v122521.pdf</x:v>
      </x:c>
    </x:row>
    <x:row r="221">
      <x:c r="A221" t="str">
        <x:v>1991-04</x:v>
      </x:c>
      <x:c r="B221" t="n">
        <x:v>1991</x:v>
      </x:c>
      <x:c r="C221" t="n">
        <x:v>4</x:v>
      </x:c>
      <x:c r="D221" s="42" t="n">
        <x:v>11.25</x:v>
      </x:c>
      <x:c r="E221" t="str">
        <x:v>V122521</x:v>
      </x:c>
      <x:c r="F221" s="36" t="str">
        <x:v>https://www.bankofcanada.ca/wp-content/uploads/2010/09/selected_historical_v122521.pdf</x:v>
      </x:c>
    </x:row>
    <x:row r="222">
      <x:c r="A222" t="str">
        <x:v>1991-05</x:v>
      </x:c>
      <x:c r="B222" t="n">
        <x:v>1991</x:v>
      </x:c>
      <x:c r="C222" t="n">
        <x:v>5</x:v>
      </x:c>
      <x:c r="D222" s="42" t="n">
        <x:v>11.25</x:v>
      </x:c>
      <x:c r="E222" t="str">
        <x:v>V122521</x:v>
      </x:c>
      <x:c r="F222" s="36" t="str">
        <x:v>https://www.bankofcanada.ca/wp-content/uploads/2010/09/selected_historical_v122521.pdf</x:v>
      </x:c>
    </x:row>
    <x:row r="223">
      <x:c r="A223" t="str">
        <x:v>1991-06</x:v>
      </x:c>
      <x:c r="B223" t="n">
        <x:v>1991</x:v>
      </x:c>
      <x:c r="C223" t="n">
        <x:v>6</x:v>
      </x:c>
      <x:c r="D223" s="42" t="n">
        <x:v>11.25</x:v>
      </x:c>
      <x:c r="E223" t="str">
        <x:v>V122521</x:v>
      </x:c>
      <x:c r="F223" s="36" t="str">
        <x:v>https://www.bankofcanada.ca/wp-content/uploads/2010/09/selected_historical_v122521.pdf</x:v>
      </x:c>
    </x:row>
    <x:row r="224">
      <x:c r="A224" t="str">
        <x:v>1991-07</x:v>
      </x:c>
      <x:c r="B224" t="n">
        <x:v>1991</x:v>
      </x:c>
      <x:c r="C224" t="n">
        <x:v>7</x:v>
      </x:c>
      <x:c r="D224" s="42" t="n">
        <x:v>11.5</x:v>
      </x:c>
      <x:c r="E224" t="str">
        <x:v>V122521</x:v>
      </x:c>
      <x:c r="F224" s="36" t="str">
        <x:v>https://www.bankofcanada.ca/wp-content/uploads/2010/09/selected_historical_v122521.pdf</x:v>
      </x:c>
    </x:row>
    <x:row r="225">
      <x:c r="A225" t="str">
        <x:v>1991-08</x:v>
      </x:c>
      <x:c r="B225" t="n">
        <x:v>1991</x:v>
      </x:c>
      <x:c r="C225" t="n">
        <x:v>8</x:v>
      </x:c>
      <x:c r="D225" s="42" t="n">
        <x:v>11.5</x:v>
      </x:c>
      <x:c r="E225" t="str">
        <x:v>V122521</x:v>
      </x:c>
      <x:c r="F225" s="36" t="str">
        <x:v>https://www.bankofcanada.ca/wp-content/uploads/2010/09/selected_historical_v122521.pdf</x:v>
      </x:c>
    </x:row>
    <x:row r="226">
      <x:c r="A226" t="str">
        <x:v>1991-09</x:v>
      </x:c>
      <x:c r="B226" t="n">
        <x:v>1991</x:v>
      </x:c>
      <x:c r="C226" t="n">
        <x:v>9</x:v>
      </x:c>
      <x:c r="D226" s="42" t="n">
        <x:v>11.25</x:v>
      </x:c>
      <x:c r="E226" t="str">
        <x:v>V122521</x:v>
      </x:c>
      <x:c r="F226" s="36" t="str">
        <x:v>https://www.bankofcanada.ca/wp-content/uploads/2010/09/selected_historical_v122521.pdf</x:v>
      </x:c>
    </x:row>
    <x:row r="227">
      <x:c r="A227" t="str">
        <x:v>1991-10</x:v>
      </x:c>
      <x:c r="B227" t="n">
        <x:v>1991</x:v>
      </x:c>
      <x:c r="C227" t="n">
        <x:v>10</x:v>
      </x:c>
      <x:c r="D227" s="42" t="n">
        <x:v>10.75</x:v>
      </x:c>
      <x:c r="E227" t="str">
        <x:v>V122521</x:v>
      </x:c>
      <x:c r="F227" s="36" t="str">
        <x:v>https://www.bankofcanada.ca/wp-content/uploads/2010/09/selected_historical_v122521.pdf</x:v>
      </x:c>
    </x:row>
    <x:row r="228">
      <x:c r="A228" t="str">
        <x:v>1991-11</x:v>
      </x:c>
      <x:c r="B228" t="n">
        <x:v>1991</x:v>
      </x:c>
      <x:c r="C228" t="n">
        <x:v>11</x:v>
      </x:c>
      <x:c r="D228" s="42" t="n">
        <x:v>9.9</x:v>
      </x:c>
      <x:c r="E228" t="str">
        <x:v>V122521</x:v>
      </x:c>
      <x:c r="F228" s="36" t="str">
        <x:v>https://www.bankofcanada.ca/wp-content/uploads/2010/09/selected_historical_v122521.pdf</x:v>
      </x:c>
    </x:row>
    <x:row r="229">
      <x:c r="A229" t="str">
        <x:v>1991-12</x:v>
      </x:c>
      <x:c r="B229" t="n">
        <x:v>1991</x:v>
      </x:c>
      <x:c r="C229" t="n">
        <x:v>12</x:v>
      </x:c>
      <x:c r="D229" s="42" t="n">
        <x:v>9.9</x:v>
      </x:c>
      <x:c r="E229" t="str">
        <x:v>V122521</x:v>
      </x:c>
      <x:c r="F229" s="36" t="str">
        <x:v>https://www.bankofcanada.ca/wp-content/uploads/2010/09/selected_historical_v122521.pdf</x:v>
      </x:c>
    </x:row>
    <x:row r="230">
      <x:c r="A230" t="str">
        <x:v>1992-01</x:v>
      </x:c>
      <x:c r="B230" t="n">
        <x:v>1992</x:v>
      </x:c>
      <x:c r="C230" t="n">
        <x:v>1</x:v>
      </x:c>
      <x:c r="D230" s="42" t="n">
        <x:v>9.75</x:v>
      </x:c>
      <x:c r="E230" t="str">
        <x:v>V122521</x:v>
      </x:c>
      <x:c r="F230" s="36" t="str">
        <x:v>https://www.bankofcanada.ca/wp-content/uploads/2010/09/selected_historical_v122521.pdf</x:v>
      </x:c>
    </x:row>
    <x:row r="231">
      <x:c r="A231" t="str">
        <x:v>1992-02</x:v>
      </x:c>
      <x:c r="B231" t="n">
        <x:v>1992</x:v>
      </x:c>
      <x:c r="C231" t="n">
        <x:v>2</x:v>
      </x:c>
      <x:c r="D231" s="42" t="n">
        <x:v>9.75</x:v>
      </x:c>
      <x:c r="E231" t="str">
        <x:v>V122521</x:v>
      </x:c>
      <x:c r="F231" s="36" t="str">
        <x:v>https://www.bankofcanada.ca/wp-content/uploads/2010/09/selected_historical_v122521.pdf</x:v>
      </x:c>
    </x:row>
    <x:row r="232">
      <x:c r="A232" t="str">
        <x:v>1992-03</x:v>
      </x:c>
      <x:c r="B232" t="n">
        <x:v>1992</x:v>
      </x:c>
      <x:c r="C232" t="n">
        <x:v>3</x:v>
      </x:c>
      <x:c r="D232" s="42" t="n">
        <x:v>10.5</x:v>
      </x:c>
      <x:c r="E232" t="str">
        <x:v>V122521</x:v>
      </x:c>
      <x:c r="F232" s="36" t="str">
        <x:v>https://www.bankofcanada.ca/wp-content/uploads/2010/09/selected_historical_v122521.pdf</x:v>
      </x:c>
    </x:row>
    <x:row r="233">
      <x:c r="A233" t="str">
        <x:v>1992-04</x:v>
      </x:c>
      <x:c r="B233" t="n">
        <x:v>1992</x:v>
      </x:c>
      <x:c r="C233" t="n">
        <x:v>4</x:v>
      </x:c>
      <x:c r="D233" s="42" t="n">
        <x:v>10.25</x:v>
      </x:c>
      <x:c r="E233" t="str">
        <x:v>V122521</x:v>
      </x:c>
      <x:c r="F233" s="36" t="str">
        <x:v>https://www.bankofcanada.ca/wp-content/uploads/2010/09/selected_historical_v122521.pdf</x:v>
      </x:c>
    </x:row>
    <x:row r="234">
      <x:c r="A234" t="str">
        <x:v>1992-05</x:v>
      </x:c>
      <x:c r="B234" t="n">
        <x:v>1992</x:v>
      </x:c>
      <x:c r="C234" t="n">
        <x:v>5</x:v>
      </x:c>
      <x:c r="D234" s="42" t="n">
        <x:v>9.9</x:v>
      </x:c>
      <x:c r="E234" t="str">
        <x:v>V122521</x:v>
      </x:c>
      <x:c r="F234" s="36" t="str">
        <x:v>https://www.bankofcanada.ca/wp-content/uploads/2010/09/selected_historical_v122521.pdf</x:v>
      </x:c>
    </x:row>
    <x:row r="235">
      <x:c r="A235" t="str">
        <x:v>1992-06</x:v>
      </x:c>
      <x:c r="B235" t="n">
        <x:v>1992</x:v>
      </x:c>
      <x:c r="C235" t="n">
        <x:v>6</x:v>
      </x:c>
      <x:c r="D235" s="42" t="n">
        <x:v>9.63</x:v>
      </x:c>
      <x:c r="E235" t="str">
        <x:v>V122521</x:v>
      </x:c>
      <x:c r="F235" s="36" t="str">
        <x:v>https://www.bankofcanada.ca/wp-content/uploads/2010/09/selected_historical_v122521.pdf</x:v>
      </x:c>
    </x:row>
    <x:row r="236">
      <x:c r="A236" t="str">
        <x:v>1992-07</x:v>
      </x:c>
      <x:c r="B236" t="n">
        <x:v>1992</x:v>
      </x:c>
      <x:c r="C236" t="n">
        <x:v>7</x:v>
      </x:c>
      <x:c r="D236" s="42" t="n">
        <x:v>8.88</x:v>
      </x:c>
      <x:c r="E236" t="str">
        <x:v>V122521</x:v>
      </x:c>
      <x:c r="F236" s="36" t="str">
        <x:v>https://www.bankofcanada.ca/wp-content/uploads/2010/09/selected_historical_v122521.pdf</x:v>
      </x:c>
    </x:row>
    <x:row r="237">
      <x:c r="A237" t="str">
        <x:v>1992-08</x:v>
      </x:c>
      <x:c r="B237" t="n">
        <x:v>1992</x:v>
      </x:c>
      <x:c r="C237" t="n">
        <x:v>8</x:v>
      </x:c>
      <x:c r="D237" s="42" t="n">
        <x:v>8.75</x:v>
      </x:c>
      <x:c r="E237" t="str">
        <x:v>V122521</x:v>
      </x:c>
      <x:c r="F237" s="36" t="str">
        <x:v>https://www.bankofcanada.ca/wp-content/uploads/2010/09/selected_historical_v122521.pdf</x:v>
      </x:c>
    </x:row>
    <x:row r="238">
      <x:c r="A238" t="str">
        <x:v>1992-09</x:v>
      </x:c>
      <x:c r="B238" t="n">
        <x:v>1992</x:v>
      </x:c>
      <x:c r="C238" t="n">
        <x:v>9</x:v>
      </x:c>
      <x:c r="D238" s="42" t="n">
        <x:v>8.5</x:v>
      </x:c>
      <x:c r="E238" t="str">
        <x:v>V122521</x:v>
      </x:c>
      <x:c r="F238" s="36" t="str">
        <x:v>https://www.bankofcanada.ca/wp-content/uploads/2010/09/selected_historical_v122521.pdf</x:v>
      </x:c>
    </x:row>
    <x:row r="239">
      <x:c r="A239" t="str">
        <x:v>1992-10</x:v>
      </x:c>
      <x:c r="B239" t="n">
        <x:v>1992</x:v>
      </x:c>
      <x:c r="C239" t="n">
        <x:v>10</x:v>
      </x:c>
      <x:c r="D239" s="42" t="n">
        <x:v>9.25</x:v>
      </x:c>
      <x:c r="E239" t="str">
        <x:v>V122521</x:v>
      </x:c>
      <x:c r="F239" s="36" t="str">
        <x:v>https://www.bankofcanada.ca/wp-content/uploads/2010/09/selected_historical_v122521.pdf</x:v>
      </x:c>
    </x:row>
    <x:row r="240">
      <x:c r="A240" t="str">
        <x:v>1992-11</x:v>
      </x:c>
      <x:c r="B240" t="n">
        <x:v>1992</x:v>
      </x:c>
      <x:c r="C240" t="n">
        <x:v>11</x:v>
      </x:c>
      <x:c r="D240" s="42" t="n">
        <x:v>9.5</x:v>
      </x:c>
      <x:c r="E240" t="str">
        <x:v>V122521</x:v>
      </x:c>
      <x:c r="F240" s="36" t="str">
        <x:v>https://www.bankofcanada.ca/wp-content/uploads/2010/09/selected_historical_v122521.pdf</x:v>
      </x:c>
    </x:row>
    <x:row r="241">
      <x:c r="A241" t="str">
        <x:v>1992-12</x:v>
      </x:c>
      <x:c r="B241" t="n">
        <x:v>1992</x:v>
      </x:c>
      <x:c r="C241" t="n">
        <x:v>12</x:v>
      </x:c>
      <x:c r="D241" s="42" t="n">
        <x:v>9.5</x:v>
      </x:c>
      <x:c r="E241" t="str">
        <x:v>V122521</x:v>
      </x:c>
      <x:c r="F241" s="36" t="str">
        <x:v>https://www.bankofcanada.ca/wp-content/uploads/2010/09/selected_historical_v122521.pdf</x:v>
      </x:c>
    </x:row>
    <x:row r="242">
      <x:c r="A242" t="str">
        <x:v>1993-01</x:v>
      </x:c>
      <x:c r="B242" t="n">
        <x:v>1993</x:v>
      </x:c>
      <x:c r="C242" t="n">
        <x:v>1</x:v>
      </x:c>
      <x:c r="D242" s="42" t="n">
        <x:v>9.5</x:v>
      </x:c>
      <x:c r="E242" t="str">
        <x:v>V122521</x:v>
      </x:c>
      <x:c r="F242" s="36" t="str">
        <x:v>https://www.bankofcanada.ca/wp-content/uploads/2010/09/selected_historical_v122521.pdf</x:v>
      </x:c>
    </x:row>
    <x:row r="243">
      <x:c r="A243" t="str">
        <x:v>1993-02</x:v>
      </x:c>
      <x:c r="B243" t="n">
        <x:v>1993</x:v>
      </x:c>
      <x:c r="C243" t="n">
        <x:v>2</x:v>
      </x:c>
      <x:c r="D243" s="42" t="n">
        <x:v>9.5</x:v>
      </x:c>
      <x:c r="E243" t="str">
        <x:v>V122521</x:v>
      </x:c>
      <x:c r="F243" s="36" t="str">
        <x:v>https://www.bankofcanada.ca/wp-content/uploads/2010/09/selected_historical_v122521.pdf</x:v>
      </x:c>
    </x:row>
    <x:row r="244">
      <x:c r="A244" t="str">
        <x:v>1993-03</x:v>
      </x:c>
      <x:c r="B244" t="n">
        <x:v>1993</x:v>
      </x:c>
      <x:c r="C244" t="n">
        <x:v>3</x:v>
      </x:c>
      <x:c r="D244" s="42" t="n">
        <x:v>8.95</x:v>
      </x:c>
      <x:c r="E244" t="str">
        <x:v>V122521</x:v>
      </x:c>
      <x:c r="F244" s="36" t="str">
        <x:v>https://www.bankofcanada.ca/wp-content/uploads/2010/09/selected_historical_v122521.pdf</x:v>
      </x:c>
    </x:row>
    <x:row r="245">
      <x:c r="A245" t="str">
        <x:v>1993-04</x:v>
      </x:c>
      <x:c r="B245" t="n">
        <x:v>1993</x:v>
      </x:c>
      <x:c r="C245" t="n">
        <x:v>4</x:v>
      </x:c>
      <x:c r="D245" s="42" t="n">
        <x:v>8.95</x:v>
      </x:c>
      <x:c r="E245" t="str">
        <x:v>V122521</x:v>
      </x:c>
      <x:c r="F245" s="36" t="str">
        <x:v>https://www.bankofcanada.ca/wp-content/uploads/2010/09/selected_historical_v122521.pdf</x:v>
      </x:c>
    </x:row>
    <x:row r="246">
      <x:c r="A246" t="str">
        <x:v>1993-05</x:v>
      </x:c>
      <x:c r="B246" t="n">
        <x:v>1993</x:v>
      </x:c>
      <x:c r="C246" t="n">
        <x:v>5</x:v>
      </x:c>
      <x:c r="D246" s="42" t="n">
        <x:v>8.95</x:v>
      </x:c>
      <x:c r="E246" t="str">
        <x:v>V122521</x:v>
      </x:c>
      <x:c r="F246" s="36" t="str">
        <x:v>https://www.bankofcanada.ca/wp-content/uploads/2010/09/selected_historical_v122521.pdf</x:v>
      </x:c>
    </x:row>
    <x:row r="247">
      <x:c r="A247" t="str">
        <x:v>1993-06</x:v>
      </x:c>
      <x:c r="B247" t="n">
        <x:v>1993</x:v>
      </x:c>
      <x:c r="C247" t="n">
        <x:v>6</x:v>
      </x:c>
      <x:c r="D247" s="42" t="n">
        <x:v>8.95</x:v>
      </x:c>
      <x:c r="E247" t="str">
        <x:v>V122521</x:v>
      </x:c>
      <x:c r="F247" s="36" t="str">
        <x:v>https://www.bankofcanada.ca/wp-content/uploads/2010/09/selected_historical_v122521.pdf</x:v>
      </x:c>
    </x:row>
    <x:row r="248">
      <x:c r="A248" t="str">
        <x:v>1993-07</x:v>
      </x:c>
      <x:c r="B248" t="n">
        <x:v>1993</x:v>
      </x:c>
      <x:c r="C248" t="n">
        <x:v>7</x:v>
      </x:c>
      <x:c r="D248" s="42" t="n">
        <x:v>8.75</x:v>
      </x:c>
      <x:c r="E248" t="str">
        <x:v>V122521</x:v>
      </x:c>
      <x:c r="F248" s="36" t="str">
        <x:v>https://www.bankofcanada.ca/wp-content/uploads/2010/09/selected_historical_v122521.pdf</x:v>
      </x:c>
    </x:row>
    <x:row r="249">
      <x:c r="A249" t="str">
        <x:v>1993-08</x:v>
      </x:c>
      <x:c r="B249" t="n">
        <x:v>1993</x:v>
      </x:c>
      <x:c r="C249" t="n">
        <x:v>8</x:v>
      </x:c>
      <x:c r="D249" s="42" t="n">
        <x:v>8.75</x:v>
      </x:c>
      <x:c r="E249" t="str">
        <x:v>V122521</x:v>
      </x:c>
      <x:c r="F249" s="36" t="str">
        <x:v>https://www.bankofcanada.ca/wp-content/uploads/2010/09/selected_historical_v122521.pdf</x:v>
      </x:c>
    </x:row>
    <x:row r="250">
      <x:c r="A250" t="str">
        <x:v>1993-09</x:v>
      </x:c>
      <x:c r="B250" t="n">
        <x:v>1993</x:v>
      </x:c>
      <x:c r="C250" t="n">
        <x:v>9</x:v>
      </x:c>
      <x:c r="D250" s="42" t="n">
        <x:v>8.75</x:v>
      </x:c>
      <x:c r="E250" t="str">
        <x:v>V122521</x:v>
      </x:c>
      <x:c r="F250" s="36" t="str">
        <x:v>https://www.bankofcanada.ca/wp-content/uploads/2010/09/selected_historical_v122521.pdf</x:v>
      </x:c>
    </x:row>
    <x:row r="251">
      <x:c r="A251" t="str">
        <x:v>1993-10</x:v>
      </x:c>
      <x:c r="B251" t="n">
        <x:v>1993</x:v>
      </x:c>
      <x:c r="C251" t="n">
        <x:v>10</x:v>
      </x:c>
      <x:c r="D251" s="42" t="n">
        <x:v>8.75</x:v>
      </x:c>
      <x:c r="E251" t="str">
        <x:v>V122521</x:v>
      </x:c>
      <x:c r="F251" s="36" t="str">
        <x:v>https://www.bankofcanada.ca/wp-content/uploads/2010/09/selected_historical_v122521.pdf</x:v>
      </x:c>
    </x:row>
    <x:row r="252">
      <x:c r="A252" t="str">
        <x:v>1993-11</x:v>
      </x:c>
      <x:c r="B252" t="n">
        <x:v>1993</x:v>
      </x:c>
      <x:c r="C252" t="n">
        <x:v>11</x:v>
      </x:c>
      <x:c r="D252" s="42" t="n">
        <x:v>7.75</x:v>
      </x:c>
      <x:c r="E252" t="str">
        <x:v>V122521</x:v>
      </x:c>
      <x:c r="F252" s="36" t="str">
        <x:v>https://www.bankofcanada.ca/wp-content/uploads/2010/09/selected_historical_v122521.pdf</x:v>
      </x:c>
    </x:row>
    <x:row r="253">
      <x:c r="A253" t="str">
        <x:v>1993-12</x:v>
      </x:c>
      <x:c r="B253" t="n">
        <x:v>1993</x:v>
      </x:c>
      <x:c r="C253" t="n">
        <x:v>12</x:v>
      </x:c>
      <x:c r="D253" s="42" t="n">
        <x:v>7.75</x:v>
      </x:c>
      <x:c r="E253" t="str">
        <x:v>V122521</x:v>
      </x:c>
      <x:c r="F253" s="36" t="str">
        <x:v>https://www.bankofcanada.ca/wp-content/uploads/2010/09/selected_historical_v122521.pdf</x:v>
      </x:c>
    </x:row>
    <x:row r="254">
      <x:c r="A254" t="str">
        <x:v>1994-01</x:v>
      </x:c>
      <x:c r="B254" t="n">
        <x:v>1994</x:v>
      </x:c>
      <x:c r="C254" t="n">
        <x:v>1</x:v>
      </x:c>
      <x:c r="D254" s="42" t="n">
        <x:v>7.25</x:v>
      </x:c>
      <x:c r="E254" t="str">
        <x:v>V122521</x:v>
      </x:c>
      <x:c r="F254" s="36" t="str">
        <x:v>https://www.bankofcanada.ca/wp-content/uploads/2010/09/selected_historical_v122521.pdf</x:v>
      </x:c>
    </x:row>
    <x:row r="255">
      <x:c r="A255" t="str">
        <x:v>1994-02</x:v>
      </x:c>
      <x:c r="B255" t="n">
        <x:v>1994</x:v>
      </x:c>
      <x:c r="C255" t="n">
        <x:v>2</x:v>
      </x:c>
      <x:c r="D255" s="42" t="n">
        <x:v>7.25</x:v>
      </x:c>
      <x:c r="E255" t="str">
        <x:v>V122521</x:v>
      </x:c>
      <x:c r="F255" s="36" t="str">
        <x:v>https://www.bankofcanada.ca/wp-content/uploads/2010/09/selected_historical_v122521.pdf</x:v>
      </x:c>
    </x:row>
    <x:row r="256">
      <x:c r="A256" t="str">
        <x:v>1994-03</x:v>
      </x:c>
      <x:c r="B256" t="n">
        <x:v>1994</x:v>
      </x:c>
      <x:c r="C256" t="n">
        <x:v>3</x:v>
      </x:c>
      <x:c r="D256" s="42" t="n">
        <x:v>8.95</x:v>
      </x:c>
      <x:c r="E256" t="str">
        <x:v>V122521</x:v>
      </x:c>
      <x:c r="F256" s="36" t="str">
        <x:v>https://www.bankofcanada.ca/wp-content/uploads/2010/09/selected_historical_v122521.pdf</x:v>
      </x:c>
    </x:row>
    <x:row r="257">
      <x:c r="A257" t="str">
        <x:v>1994-04</x:v>
      </x:c>
      <x:c r="B257" t="n">
        <x:v>1994</x:v>
      </x:c>
      <x:c r="C257" t="n">
        <x:v>4</x:v>
      </x:c>
      <x:c r="D257" s="42" t="n">
        <x:v>9.5</x:v>
      </x:c>
      <x:c r="E257" t="str">
        <x:v>V122521</x:v>
      </x:c>
      <x:c r="F257" s="36" t="str">
        <x:v>https://www.bankofcanada.ca/wp-content/uploads/2010/09/selected_historical_v122521.pdf</x:v>
      </x:c>
    </x:row>
    <x:row r="258">
      <x:c r="A258" t="str">
        <x:v>1994-05</x:v>
      </x:c>
      <x:c r="B258" t="n">
        <x:v>1994</x:v>
      </x:c>
      <x:c r="C258" t="n">
        <x:v>5</x:v>
      </x:c>
      <x:c r="D258" s="42" t="n">
        <x:v>9.5</x:v>
      </x:c>
      <x:c r="E258" t="str">
        <x:v>V122521</x:v>
      </x:c>
      <x:c r="F258" s="36" t="str">
        <x:v>https://www.bankofcanada.ca/wp-content/uploads/2010/09/selected_historical_v122521.pdf</x:v>
      </x:c>
    </x:row>
    <x:row r="259">
      <x:c r="A259" t="str">
        <x:v>1994-06</x:v>
      </x:c>
      <x:c r="B259" t="n">
        <x:v>1994</x:v>
      </x:c>
      <x:c r="C259" t="n">
        <x:v>6</x:v>
      </x:c>
      <x:c r="D259" s="42" t="n">
        <x:v>10.75</x:v>
      </x:c>
      <x:c r="E259" t="str">
        <x:v>V122521</x:v>
      </x:c>
      <x:c r="F259" s="36" t="str">
        <x:v>https://www.bankofcanada.ca/wp-content/uploads/2010/09/selected_historical_v122521.pdf</x:v>
      </x:c>
    </x:row>
    <x:row r="260">
      <x:c r="A260" t="str">
        <x:v>1994-07</x:v>
      </x:c>
      <x:c r="B260" t="n">
        <x:v>1994</x:v>
      </x:c>
      <x:c r="C260" t="n">
        <x:v>7</x:v>
      </x:c>
      <x:c r="D260" s="42" t="n">
        <x:v>10.75</x:v>
      </x:c>
      <x:c r="E260" t="str">
        <x:v>V122521</x:v>
      </x:c>
      <x:c r="F260" s="36" t="str">
        <x:v>https://www.bankofcanada.ca/wp-content/uploads/2010/09/selected_historical_v122521.pdf</x:v>
      </x:c>
    </x:row>
    <x:row r="261">
      <x:c r="A261" t="str">
        <x:v>1994-08</x:v>
      </x:c>
      <x:c r="B261" t="n">
        <x:v>1994</x:v>
      </x:c>
      <x:c r="C261" t="n">
        <x:v>8</x:v>
      </x:c>
      <x:c r="D261" s="42" t="n">
        <x:v>10.25</x:v>
      </x:c>
      <x:c r="E261" t="str">
        <x:v>V122521</x:v>
      </x:c>
      <x:c r="F261" s="36" t="str">
        <x:v>https://www.bankofcanada.ca/wp-content/uploads/2010/09/selected_historical_v122521.pdf</x:v>
      </x:c>
    </x:row>
    <x:row r="262">
      <x:c r="A262" t="str">
        <x:v>1994-09</x:v>
      </x:c>
      <x:c r="B262" t="n">
        <x:v>1994</x:v>
      </x:c>
      <x:c r="C262" t="n">
        <x:v>9</x:v>
      </x:c>
      <x:c r="D262" s="42" t="n">
        <x:v>9.9</x:v>
      </x:c>
      <x:c r="E262" t="str">
        <x:v>V122521</x:v>
      </x:c>
      <x:c r="F262" s="36" t="str">
        <x:v>https://www.bankofcanada.ca/wp-content/uploads/2010/09/selected_historical_v122521.pdf</x:v>
      </x:c>
    </x:row>
    <x:row r="263">
      <x:c r="A263" t="str">
        <x:v>1994-10</x:v>
      </x:c>
      <x:c r="B263" t="n">
        <x:v>1994</x:v>
      </x:c>
      <x:c r="C263" t="n">
        <x:v>10</x:v>
      </x:c>
      <x:c r="D263" s="42" t="n">
        <x:v>9.9</x:v>
      </x:c>
      <x:c r="E263" t="str">
        <x:v>V122521</x:v>
      </x:c>
      <x:c r="F263" s="36" t="str">
        <x:v>https://www.bankofcanada.ca/wp-content/uploads/2010/09/selected_historical_v122521.pdf</x:v>
      </x:c>
    </x:row>
    <x:row r="264">
      <x:c r="A264" t="str">
        <x:v>1994-11</x:v>
      </x:c>
      <x:c r="B264" t="n">
        <x:v>1994</x:v>
      </x:c>
      <x:c r="C264" t="n">
        <x:v>11</x:v>
      </x:c>
      <x:c r="D264" s="42" t="n">
        <x:v>9.9</x:v>
      </x:c>
      <x:c r="E264" t="str">
        <x:v>V122521</x:v>
      </x:c>
      <x:c r="F264" s="36" t="str">
        <x:v>https://www.bankofcanada.ca/wp-content/uploads/2010/09/selected_historical_v122521.pdf</x:v>
      </x:c>
    </x:row>
    <x:row r="265">
      <x:c r="A265" t="str">
        <x:v>1994-12</x:v>
      </x:c>
      <x:c r="B265" t="n">
        <x:v>1994</x:v>
      </x:c>
      <x:c r="C265" t="n">
        <x:v>12</x:v>
      </x:c>
      <x:c r="D265" s="42" t="n">
        <x:v>10.5</x:v>
      </x:c>
      <x:c r="E265" t="str">
        <x:v>V122521</x:v>
      </x:c>
      <x:c r="F265" s="36" t="str">
        <x:v>https://www.bankofcanada.ca/wp-content/uploads/2010/09/selected_historical_v122521.pdf</x:v>
      </x:c>
    </x:row>
    <x:row r="266">
      <x:c r="A266" t="str">
        <x:v>1995-01</x:v>
      </x:c>
      <x:c r="B266" t="n">
        <x:v>1995</x:v>
      </x:c>
      <x:c r="C266" t="n">
        <x:v>1</x:v>
      </x:c>
      <x:c r="D266" s="42" t="n">
        <x:v>10.75</x:v>
      </x:c>
      <x:c r="E266" t="str">
        <x:v>V122521</x:v>
      </x:c>
      <x:c r="F266" s="36" t="str">
        <x:v>https://www.bankofcanada.ca/wp-content/uploads/2010/09/selected_historical_v122521.pdf</x:v>
      </x:c>
    </x:row>
    <x:row r="267">
      <x:c r="A267" t="str">
        <x:v>1995-02</x:v>
      </x:c>
      <x:c r="B267" t="n">
        <x:v>1995</x:v>
      </x:c>
      <x:c r="C267" t="n">
        <x:v>2</x:v>
      </x:c>
      <x:c r="D267" s="42" t="n">
        <x:v>10.38</x:v>
      </x:c>
      <x:c r="E267" t="str">
        <x:v>V122521</x:v>
      </x:c>
      <x:c r="F267" s="36" t="str">
        <x:v>https://www.bankofcanada.ca/wp-content/uploads/2010/09/selected_historical_v122521.pdf</x:v>
      </x:c>
    </x:row>
    <x:row r="268">
      <x:c r="A268" t="str">
        <x:v>1995-03</x:v>
      </x:c>
      <x:c r="B268" t="n">
        <x:v>1995</x:v>
      </x:c>
      <x:c r="C268" t="n">
        <x:v>3</x:v>
      </x:c>
      <x:c r="D268" s="42" t="n">
        <x:v>9.88</x:v>
      </x:c>
      <x:c r="E268" t="str">
        <x:v>V122521</x:v>
      </x:c>
      <x:c r="F268" s="36" t="str">
        <x:v>https://www.bankofcanada.ca/wp-content/uploads/2010/09/selected_historical_v122521.pdf</x:v>
      </x:c>
    </x:row>
    <x:row r="269">
      <x:c r="A269" t="str">
        <x:v>1995-04</x:v>
      </x:c>
      <x:c r="B269" t="n">
        <x:v>1995</x:v>
      </x:c>
      <x:c r="C269" t="n">
        <x:v>4</x:v>
      </x:c>
      <x:c r="D269" s="42" t="n">
        <x:v>9.38</x:v>
      </x:c>
      <x:c r="E269" t="str">
        <x:v>V122521</x:v>
      </x:c>
      <x:c r="F269" s="36" t="str">
        <x:v>https://www.bankofcanada.ca/wp-content/uploads/2010/09/selected_historical_v122521.pdf</x:v>
      </x:c>
    </x:row>
    <x:row r="270">
      <x:c r="A270" t="str">
        <x:v>1995-05</x:v>
      </x:c>
      <x:c r="B270" t="n">
        <x:v>1995</x:v>
      </x:c>
      <x:c r="C270" t="n">
        <x:v>5</x:v>
      </x:c>
      <x:c r="D270" s="42" t="n">
        <x:v>8.88</x:v>
      </x:c>
      <x:c r="E270" t="str">
        <x:v>V122521</x:v>
      </x:c>
      <x:c r="F270" s="36" t="str">
        <x:v>https://www.bankofcanada.ca/wp-content/uploads/2010/09/selected_historical_v122521.pdf</x:v>
      </x:c>
    </x:row>
    <x:row r="271">
      <x:c r="A271" t="str">
        <x:v>1995-06</x:v>
      </x:c>
      <x:c r="B271" t="n">
        <x:v>1995</x:v>
      </x:c>
      <x:c r="C271" t="n">
        <x:v>6</x:v>
      </x:c>
      <x:c r="D271" s="42" t="n">
        <x:v>8.63</x:v>
      </x:c>
      <x:c r="E271" t="str">
        <x:v>V122521</x:v>
      </x:c>
      <x:c r="F271" s="36" t="str">
        <x:v>https://www.bankofcanada.ca/wp-content/uploads/2010/09/selected_historical_v122521.pdf</x:v>
      </x:c>
    </x:row>
    <x:row r="272">
      <x:c r="A272" t="str">
        <x:v>1995-07</x:v>
      </x:c>
      <x:c r="B272" t="n">
        <x:v>1995</x:v>
      </x:c>
      <x:c r="C272" t="n">
        <x:v>7</x:v>
      </x:c>
      <x:c r="D272" s="42" t="n">
        <x:v>8.5</x:v>
      </x:c>
      <x:c r="E272" t="str">
        <x:v>V122521</x:v>
      </x:c>
      <x:c r="F272" s="36" t="str">
        <x:v>https://www.bankofcanada.ca/wp-content/uploads/2010/09/selected_historical_v122521.pdf</x:v>
      </x:c>
    </x:row>
    <x:row r="273">
      <x:c r="A273" t="str">
        <x:v>1995-08</x:v>
      </x:c>
      <x:c r="B273" t="n">
        <x:v>1995</x:v>
      </x:c>
      <x:c r="C273" t="n">
        <x:v>8</x:v>
      </x:c>
      <x:c r="D273" s="42" t="n">
        <x:v>8.95</x:v>
      </x:c>
      <x:c r="E273" t="str">
        <x:v>V122521</x:v>
      </x:c>
      <x:c r="F273" s="36" t="str">
        <x:v>https://www.bankofcanada.ca/wp-content/uploads/2010/09/selected_historical_v122521.pdf</x:v>
      </x:c>
    </x:row>
    <x:row r="274">
      <x:c r="A274" t="str">
        <x:v>1995-09</x:v>
      </x:c>
      <x:c r="B274" t="n">
        <x:v>1995</x:v>
      </x:c>
      <x:c r="C274" t="n">
        <x:v>9</x:v>
      </x:c>
      <x:c r="D274" s="42" t="n">
        <x:v>8.95</x:v>
      </x:c>
      <x:c r="E274" t="str">
        <x:v>V122521</x:v>
      </x:c>
      <x:c r="F274" s="36" t="str">
        <x:v>https://www.bankofcanada.ca/wp-content/uploads/2010/09/selected_historical_v122521.pdf</x:v>
      </x:c>
    </x:row>
    <x:row r="275">
      <x:c r="A275" t="str">
        <x:v>1995-10</x:v>
      </x:c>
      <x:c r="B275" t="n">
        <x:v>1995</x:v>
      </x:c>
      <x:c r="C275" t="n">
        <x:v>10</x:v>
      </x:c>
      <x:c r="D275" s="42" t="n">
        <x:v>8.7</x:v>
      </x:c>
      <x:c r="E275" t="str">
        <x:v>V122521</x:v>
      </x:c>
      <x:c r="F275" s="36" t="str">
        <x:v>https://www.bankofcanada.ca/wp-content/uploads/2010/09/selected_historical_v122521.pdf</x:v>
      </x:c>
    </x:row>
    <x:row r="276">
      <x:c r="A276" t="str">
        <x:v>1995-11</x:v>
      </x:c>
      <x:c r="B276" t="n">
        <x:v>1995</x:v>
      </x:c>
      <x:c r="C276" t="n">
        <x:v>11</x:v>
      </x:c>
      <x:c r="D276" s="42" t="n">
        <x:v>8.45</x:v>
      </x:c>
      <x:c r="E276" t="str">
        <x:v>V122521</x:v>
      </x:c>
      <x:c r="F276" s="36" t="str">
        <x:v>https://www.bankofcanada.ca/wp-content/uploads/2010/09/selected_historical_v122521.pdf</x:v>
      </x:c>
    </x:row>
    <x:row r="277">
      <x:c r="A277" t="str">
        <x:v>1995-12</x:v>
      </x:c>
      <x:c r="B277" t="n">
        <x:v>1995</x:v>
      </x:c>
      <x:c r="C277" t="n">
        <x:v>12</x:v>
      </x:c>
      <x:c r="D277" s="42" t="n">
        <x:v>8.45</x:v>
      </x:c>
      <x:c r="E277" t="str">
        <x:v>V122521</x:v>
      </x:c>
      <x:c r="F277" s="36" t="str">
        <x:v>https://www.bankofcanada.ca/wp-content/uploads/2010/09/selected_historical_v122521.pdf</x:v>
      </x:c>
    </x:row>
    <x:row r="278">
      <x:c r="A278" t="str">
        <x:v>1996-01</x:v>
      </x:c>
      <x:c r="B278" t="n">
        <x:v>1996</x:v>
      </x:c>
      <x:c r="C278" t="n">
        <x:v>1</x:v>
      </x:c>
      <x:c r="D278" s="42" t="n">
        <x:v>7.8</x:v>
      </x:c>
      <x:c r="E278" t="str">
        <x:v>V122521</x:v>
      </x:c>
      <x:c r="F278" s="36" t="str">
        <x:v>https://www.bankofcanada.ca/wp-content/uploads/2010/09/selected_historical_v122521.pdf</x:v>
      </x:c>
    </x:row>
    <x:row r="279">
      <x:c r="A279" t="str">
        <x:v>1996-02</x:v>
      </x:c>
      <x:c r="B279" t="n">
        <x:v>1996</x:v>
      </x:c>
      <x:c r="C279" t="n">
        <x:v>2</x:v>
      </x:c>
      <x:c r="D279" s="42" t="n">
        <x:v>7.8</x:v>
      </x:c>
      <x:c r="E279" t="str">
        <x:v>V122521</x:v>
      </x:c>
      <x:c r="F279" s="36" t="str">
        <x:v>https://www.bankofcanada.ca/wp-content/uploads/2010/09/selected_historical_v122521.pdf</x:v>
      </x:c>
    </x:row>
    <x:row r="280">
      <x:c r="A280" t="str">
        <x:v>1996-03</x:v>
      </x:c>
      <x:c r="B280" t="n">
        <x:v>1996</x:v>
      </x:c>
      <x:c r="C280" t="n">
        <x:v>3</x:v>
      </x:c>
      <x:c r="D280" s="42" t="n">
        <x:v>8.5</x:v>
      </x:c>
      <x:c r="E280" t="str">
        <x:v>V122521</x:v>
      </x:c>
      <x:c r="F280" s="36" t="str">
        <x:v>https://www.bankofcanada.ca/wp-content/uploads/2010/09/selected_historical_v122521.pdf</x:v>
      </x:c>
    </x:row>
    <x:row r="281">
      <x:c r="A281" t="str">
        <x:v>1996-04</x:v>
      </x:c>
      <x:c r="B281" t="n">
        <x:v>1996</x:v>
      </x:c>
      <x:c r="C281" t="n">
        <x:v>4</x:v>
      </x:c>
      <x:c r="D281" s="42" t="n">
        <x:v>8.5</x:v>
      </x:c>
      <x:c r="E281" t="str">
        <x:v>V122521</x:v>
      </x:c>
      <x:c r="F281" s="36" t="str">
        <x:v>https://www.bankofcanada.ca/wp-content/uploads/2010/09/selected_historical_v122521.pdf</x:v>
      </x:c>
    </x:row>
    <x:row r="282">
      <x:c r="A282" t="str">
        <x:v>1996-05</x:v>
      </x:c>
      <x:c r="B282" t="n">
        <x:v>1996</x:v>
      </x:c>
      <x:c r="C282" t="n">
        <x:v>5</x:v>
      </x:c>
      <x:c r="D282" s="42" t="n">
        <x:v>8.5</x:v>
      </x:c>
      <x:c r="E282" t="str">
        <x:v>V122521</x:v>
      </x:c>
      <x:c r="F282" s="36" t="str">
        <x:v>https://www.bankofcanada.ca/wp-content/uploads/2010/09/selected_historical_v122521.pdf</x:v>
      </x:c>
    </x:row>
    <x:row r="283">
      <x:c r="A283" t="str">
        <x:v>1996-06</x:v>
      </x:c>
      <x:c r="B283" t="n">
        <x:v>1996</x:v>
      </x:c>
      <x:c r="C283" t="n">
        <x:v>6</x:v>
      </x:c>
      <x:c r="D283" s="42" t="n">
        <x:v>8.5</x:v>
      </x:c>
      <x:c r="E283" t="str">
        <x:v>V122521</x:v>
      </x:c>
      <x:c r="F283" s="36" t="str">
        <x:v>https://www.bankofcanada.ca/wp-content/uploads/2010/09/selected_historical_v122521.pdf</x:v>
      </x:c>
    </x:row>
    <x:row r="284">
      <x:c r="A284" t="str">
        <x:v>1996-07</x:v>
      </x:c>
      <x:c r="B284" t="n">
        <x:v>1996</x:v>
      </x:c>
      <x:c r="C284" t="n">
        <x:v>7</x:v>
      </x:c>
      <x:c r="D284" s="42" t="n">
        <x:v>8.5</x:v>
      </x:c>
      <x:c r="E284" t="str">
        <x:v>V122521</x:v>
      </x:c>
      <x:c r="F284" s="36" t="str">
        <x:v>https://www.bankofcanada.ca/wp-content/uploads/2010/09/selected_historical_v122521.pdf</x:v>
      </x:c>
    </x:row>
    <x:row r="285">
      <x:c r="A285" t="str">
        <x:v>1996-08</x:v>
      </x:c>
      <x:c r="B285" t="n">
        <x:v>1996</x:v>
      </x:c>
      <x:c r="C285" t="n">
        <x:v>8</x:v>
      </x:c>
      <x:c r="D285" s="42" t="n">
        <x:v>7.95</x:v>
      </x:c>
      <x:c r="E285" t="str">
        <x:v>V122521</x:v>
      </x:c>
      <x:c r="F285" s="36" t="str">
        <x:v>https://www.bankofcanada.ca/wp-content/uploads/2010/09/selected_historical_v122521.pdf</x:v>
      </x:c>
    </x:row>
    <x:row r="286">
      <x:c r="A286" t="str">
        <x:v>1996-09</x:v>
      </x:c>
      <x:c r="B286" t="n">
        <x:v>1996</x:v>
      </x:c>
      <x:c r="C286" t="n">
        <x:v>9</x:v>
      </x:c>
      <x:c r="D286" s="42" t="n">
        <x:v>7.95</x:v>
      </x:c>
      <x:c r="E286" t="str">
        <x:v>V122521</x:v>
      </x:c>
      <x:c r="F286" s="36" t="str">
        <x:v>https://www.bankofcanada.ca/wp-content/uploads/2010/09/selected_historical_v122521.pdf</x:v>
      </x:c>
    </x:row>
    <x:row r="287">
      <x:c r="A287" t="str">
        <x:v>1996-10</x:v>
      </x:c>
      <x:c r="B287" t="n">
        <x:v>1996</x:v>
      </x:c>
      <x:c r="C287" t="n">
        <x:v>10</x:v>
      </x:c>
      <x:c r="D287" s="42" t="n">
        <x:v>7.2</x:v>
      </x:c>
      <x:c r="E287" t="str">
        <x:v>V122521</x:v>
      </x:c>
      <x:c r="F287" s="36" t="str">
        <x:v>https://www.bankofcanada.ca/wp-content/uploads/2010/09/selected_historical_v122521.pdf</x:v>
      </x:c>
    </x:row>
    <x:row r="288">
      <x:c r="A288" t="str">
        <x:v>1996-11</x:v>
      </x:c>
      <x:c r="B288" t="n">
        <x:v>1996</x:v>
      </x:c>
      <x:c r="C288" t="n">
        <x:v>11</x:v>
      </x:c>
      <x:c r="D288" s="42" t="n">
        <x:v>6.95</x:v>
      </x:c>
      <x:c r="E288" t="str">
        <x:v>V122521</x:v>
      </x:c>
      <x:c r="F288" s="36" t="str">
        <x:v>https://www.bankofcanada.ca/wp-content/uploads/2010/09/selected_historical_v122521.pdf</x:v>
      </x:c>
    </x:row>
    <x:row r="289">
      <x:c r="A289" t="str">
        <x:v>1996-12</x:v>
      </x:c>
      <x:c r="B289" t="n">
        <x:v>1996</x:v>
      </x:c>
      <x:c r="C289" t="n">
        <x:v>12</x:v>
      </x:c>
      <x:c r="D289" s="42" t="n">
        <x:v>6.95</x:v>
      </x:c>
      <x:c r="E289" t="str">
        <x:v>V122521</x:v>
      </x:c>
      <x:c r="F289" s="36" t="str">
        <x:v>https://www.bankofcanada.ca/wp-content/uploads/2010/09/selected_historical_v122521.pdf</x:v>
      </x:c>
    </x:row>
    <x:row r="290">
      <x:c r="A290" t="str">
        <x:v>1997-01</x:v>
      </x:c>
      <x:c r="B290" t="n">
        <x:v>1997</x:v>
      </x:c>
      <x:c r="C290" t="n">
        <x:v>1</x:v>
      </x:c>
      <x:c r="D290" s="42" t="n">
        <x:v>7.25</x:v>
      </x:c>
      <x:c r="E290" t="str">
        <x:v>V122521</x:v>
      </x:c>
      <x:c r="F290" s="36" t="str">
        <x:v>https://www.bankofcanada.ca/wp-content/uploads/2010/09/selected_historical_v122521.pdf</x:v>
      </x:c>
    </x:row>
    <x:row r="291">
      <x:c r="A291" t="str">
        <x:v>1997-02</x:v>
      </x:c>
      <x:c r="B291" t="n">
        <x:v>1997</x:v>
      </x:c>
      <x:c r="C291" t="n">
        <x:v>2</x:v>
      </x:c>
      <x:c r="D291" s="42" t="n">
        <x:v>7</x:v>
      </x:c>
      <x:c r="E291" t="str">
        <x:v>V122521</x:v>
      </x:c>
      <x:c r="F291" s="36" t="str">
        <x:v>https://www.bankofcanada.ca/wp-content/uploads/2010/09/selected_historical_v122521.pdf</x:v>
      </x:c>
    </x:row>
    <x:row r="292">
      <x:c r="A292" t="str">
        <x:v>1997-03</x:v>
      </x:c>
      <x:c r="B292" t="n">
        <x:v>1997</x:v>
      </x:c>
      <x:c r="C292" t="n">
        <x:v>3</x:v>
      </x:c>
      <x:c r="D292" s="42" t="n">
        <x:v>7.3</x:v>
      </x:c>
      <x:c r="E292" t="str">
        <x:v>V122521</x:v>
      </x:c>
      <x:c r="F292" s="36" t="str">
        <x:v>https://www.bankofcanada.ca/wp-content/uploads/2010/09/selected_historical_v122521.pdf</x:v>
      </x:c>
    </x:row>
    <x:row r="293">
      <x:c r="A293" t="str">
        <x:v>1997-04</x:v>
      </x:c>
      <x:c r="B293" t="n">
        <x:v>1997</x:v>
      </x:c>
      <x:c r="C293" t="n">
        <x:v>4</x:v>
      </x:c>
      <x:c r="D293" s="42" t="n">
        <x:v>7.65</x:v>
      </x:c>
      <x:c r="E293" t="str">
        <x:v>V122521</x:v>
      </x:c>
      <x:c r="F293" s="36" t="str">
        <x:v>https://www.bankofcanada.ca/wp-content/uploads/2010/09/selected_historical_v122521.pdf</x:v>
      </x:c>
    </x:row>
    <x:row r="294">
      <x:c r="A294" t="str">
        <x:v>1997-05</x:v>
      </x:c>
      <x:c r="B294" t="n">
        <x:v>1997</x:v>
      </x:c>
      <x:c r="C294" t="n">
        <x:v>5</x:v>
      </x:c>
      <x:c r="D294" s="42" t="n">
        <x:v>7.35</x:v>
      </x:c>
      <x:c r="E294" t="str">
        <x:v>V122521</x:v>
      </x:c>
      <x:c r="F294" s="36" t="str">
        <x:v>https://www.bankofcanada.ca/wp-content/uploads/2010/09/selected_historical_v122521.pdf</x:v>
      </x:c>
    </x:row>
    <x:row r="295">
      <x:c r="A295" t="str">
        <x:v>1997-06</x:v>
      </x:c>
      <x:c r="B295" t="n">
        <x:v>1997</x:v>
      </x:c>
      <x:c r="C295" t="n">
        <x:v>6</x:v>
      </x:c>
      <x:c r="D295" s="42" t="n">
        <x:v>7</x:v>
      </x:c>
      <x:c r="E295" t="str">
        <x:v>V122521</x:v>
      </x:c>
      <x:c r="F295" s="36" t="str">
        <x:v>https://www.bankofcanada.ca/wp-content/uploads/2010/09/selected_historical_v122521.pdf</x:v>
      </x:c>
    </x:row>
    <x:row r="296">
      <x:c r="A296" t="str">
        <x:v>1997-07</x:v>
      </x:c>
      <x:c r="B296" t="n">
        <x:v>1997</x:v>
      </x:c>
      <x:c r="C296" t="n">
        <x:v>7</x:v>
      </x:c>
      <x:c r="D296" s="42" t="n">
        <x:v>7</x:v>
      </x:c>
      <x:c r="E296" t="str">
        <x:v>V122521</x:v>
      </x:c>
      <x:c r="F296" s="36" t="str">
        <x:v>https://www.bankofcanada.ca/wp-content/uploads/2010/09/selected_historical_v122521.pdf</x:v>
      </x:c>
    </x:row>
    <x:row r="297">
      <x:c r="A297" t="str">
        <x:v>1997-08</x:v>
      </x:c>
      <x:c r="B297" t="n">
        <x:v>1997</x:v>
      </x:c>
      <x:c r="C297" t="n">
        <x:v>8</x:v>
      </x:c>
      <x:c r="D297" s="42" t="n">
        <x:v>7</x:v>
      </x:c>
      <x:c r="E297" t="str">
        <x:v>V122521</x:v>
      </x:c>
      <x:c r="F297" s="36" t="str">
        <x:v>https://www.bankofcanada.ca/wp-content/uploads/2010/09/selected_historical_v122521.pdf</x:v>
      </x:c>
    </x:row>
    <x:row r="298">
      <x:c r="A298" t="str">
        <x:v>1997-09</x:v>
      </x:c>
      <x:c r="B298" t="n">
        <x:v>1997</x:v>
      </x:c>
      <x:c r="C298" t="n">
        <x:v>9</x:v>
      </x:c>
      <x:c r="D298" s="42" t="n">
        <x:v>6.85</x:v>
      </x:c>
      <x:c r="E298" t="str">
        <x:v>V122521</x:v>
      </x:c>
      <x:c r="F298" s="36" t="str">
        <x:v>https://www.bankofcanada.ca/wp-content/uploads/2010/09/selected_historical_v122521.pdf</x:v>
      </x:c>
    </x:row>
    <x:row r="299">
      <x:c r="A299" t="str">
        <x:v>1997-10</x:v>
      </x:c>
      <x:c r="B299" t="n">
        <x:v>1997</x:v>
      </x:c>
      <x:c r="C299" t="n">
        <x:v>10</x:v>
      </x:c>
      <x:c r="D299" s="42" t="n">
        <x:v>6.7</x:v>
      </x:c>
      <x:c r="E299" t="str">
        <x:v>V122521</x:v>
      </x:c>
      <x:c r="F299" s="36" t="str">
        <x:v>https://www.bankofcanada.ca/wp-content/uploads/2010/09/selected_historical_v122521.pdf</x:v>
      </x:c>
    </x:row>
    <x:row r="300">
      <x:c r="A300" t="str">
        <x:v>1997-11</x:v>
      </x:c>
      <x:c r="B300" t="n">
        <x:v>1997</x:v>
      </x:c>
      <x:c r="C300" t="n">
        <x:v>11</x:v>
      </x:c>
      <x:c r="D300" s="42" t="n">
        <x:v>6.7</x:v>
      </x:c>
      <x:c r="E300" t="str">
        <x:v>V122521</x:v>
      </x:c>
      <x:c r="F300" s="36" t="str">
        <x:v>https://www.bankofcanada.ca/wp-content/uploads/2010/09/selected_historical_v122521.pdf</x:v>
      </x:c>
    </x:row>
    <x:row r="301">
      <x:c r="A301" t="str">
        <x:v>1997-12</x:v>
      </x:c>
      <x:c r="B301" t="n">
        <x:v>1997</x:v>
      </x:c>
      <x:c r="C301" t="n">
        <x:v>12</x:v>
      </x:c>
      <x:c r="D301" s="42" t="n">
        <x:v>7.05</x:v>
      </x:c>
      <x:c r="E301" t="str">
        <x:v>V122521</x:v>
      </x:c>
      <x:c r="F301" s="36" t="str">
        <x:v>https://www.bankofcanada.ca/wp-content/uploads/2010/09/selected_historical_v122521.pdf</x:v>
      </x:c>
    </x:row>
    <x:row r="302">
      <x:c r="A302" t="str">
        <x:v>1998-01</x:v>
      </x:c>
      <x:c r="B302" t="n">
        <x:v>1998</x:v>
      </x:c>
      <x:c r="C302" t="n">
        <x:v>1</x:v>
      </x:c>
      <x:c r="D302" s="42" t="n">
        <x:v>6.85</x:v>
      </x:c>
      <x:c r="E302" t="str">
        <x:v>V122521</x:v>
      </x:c>
      <x:c r="F302" s="36" t="str">
        <x:v>https://www.bankofcanada.ca/wp-content/uploads/2010/09/selected_historical_v122521.pdf</x:v>
      </x:c>
    </x:row>
    <x:row r="303">
      <x:c r="A303" t="str">
        <x:v>1998-02</x:v>
      </x:c>
      <x:c r="B303" t="n">
        <x:v>1998</x:v>
      </x:c>
      <x:c r="C303" t="n">
        <x:v>2</x:v>
      </x:c>
      <x:c r="D303" s="42" t="n">
        <x:v>6.85</x:v>
      </x:c>
      <x:c r="E303" t="str">
        <x:v>V122521</x:v>
      </x:c>
      <x:c r="F303" s="36" t="str">
        <x:v>https://www.bankofcanada.ca/wp-content/uploads/2010/09/selected_historical_v122521.pdf</x:v>
      </x:c>
    </x:row>
    <x:row r="304">
      <x:c r="A304" t="str">
        <x:v>1998-03</x:v>
      </x:c>
      <x:c r="B304" t="n">
        <x:v>1998</x:v>
      </x:c>
      <x:c r="C304" t="n">
        <x:v>3</x:v>
      </x:c>
      <x:c r="D304" s="42" t="n">
        <x:v>6.85</x:v>
      </x:c>
      <x:c r="E304" t="str">
        <x:v>V122521</x:v>
      </x:c>
      <x:c r="F304" s="36" t="str">
        <x:v>https://www.bankofcanada.ca/wp-content/uploads/2010/09/selected_historical_v122521.pdf</x:v>
      </x:c>
    </x:row>
    <x:row r="305">
      <x:c r="A305" t="str">
        <x:v>1998-04</x:v>
      </x:c>
      <x:c r="B305" t="n">
        <x:v>1998</x:v>
      </x:c>
      <x:c r="C305" t="n">
        <x:v>4</x:v>
      </x:c>
      <x:c r="D305" s="42" t="n">
        <x:v>6.95</x:v>
      </x:c>
      <x:c r="E305" t="str">
        <x:v>V122521</x:v>
      </x:c>
      <x:c r="F305" s="36" t="str">
        <x:v>https://www.bankofcanada.ca/wp-content/uploads/2010/09/selected_historical_v122521.pdf</x:v>
      </x:c>
    </x:row>
    <x:row r="306">
      <x:c r="A306" t="str">
        <x:v>1998-05</x:v>
      </x:c>
      <x:c r="B306" t="n">
        <x:v>1998</x:v>
      </x:c>
      <x:c r="C306" t="n">
        <x:v>5</x:v>
      </x:c>
      <x:c r="D306" s="42" t="n">
        <x:v>6.95</x:v>
      </x:c>
      <x:c r="E306" t="str">
        <x:v>V122521</x:v>
      </x:c>
      <x:c r="F306" s="36" t="str">
        <x:v>https://www.bankofcanada.ca/wp-content/uploads/2010/09/selected_historical_v122521.pdf</x:v>
      </x:c>
    </x:row>
    <x:row r="307">
      <x:c r="A307" t="str">
        <x:v>1998-06</x:v>
      </x:c>
      <x:c r="B307" t="n">
        <x:v>1998</x:v>
      </x:c>
      <x:c r="C307" t="n">
        <x:v>6</x:v>
      </x:c>
      <x:c r="D307" s="42" t="n">
        <x:v>6.95</x:v>
      </x:c>
      <x:c r="E307" t="str">
        <x:v>V122521</x:v>
      </x:c>
      <x:c r="F307" s="36" t="str">
        <x:v>https://www.bankofcanada.ca/wp-content/uploads/2010/09/selected_historical_v122521.pdf</x:v>
      </x:c>
    </x:row>
    <x:row r="308">
      <x:c r="A308" t="str">
        <x:v>1998-07</x:v>
      </x:c>
      <x:c r="B308" t="n">
        <x:v>1998</x:v>
      </x:c>
      <x:c r="C308" t="n">
        <x:v>7</x:v>
      </x:c>
      <x:c r="D308" s="42" t="n">
        <x:v>6.95</x:v>
      </x:c>
      <x:c r="E308" t="str">
        <x:v>V122521</x:v>
      </x:c>
      <x:c r="F308" s="36" t="str">
        <x:v>https://www.bankofcanada.ca/wp-content/uploads/2010/09/selected_historical_v122521.pdf</x:v>
      </x:c>
    </x:row>
    <x:row r="309">
      <x:c r="A309" t="str">
        <x:v>1998-08</x:v>
      </x:c>
      <x:c r="B309" t="n">
        <x:v>1998</x:v>
      </x:c>
      <x:c r="C309" t="n">
        <x:v>8</x:v>
      </x:c>
      <x:c r="D309" s="42" t="n">
        <x:v>7.15</x:v>
      </x:c>
      <x:c r="E309" t="str">
        <x:v>V122521</x:v>
      </x:c>
      <x:c r="F309" s="36" t="str">
        <x:v>https://www.bankofcanada.ca/wp-content/uploads/2010/09/selected_historical_v122521.pdf</x:v>
      </x:c>
    </x:row>
    <x:row r="310">
      <x:c r="A310" t="str">
        <x:v>1998-09</x:v>
      </x:c>
      <x:c r="B310" t="n">
        <x:v>1998</x:v>
      </x:c>
      <x:c r="C310" t="n">
        <x:v>9</x:v>
      </x:c>
      <x:c r="D310" s="42" t="n">
        <x:v>7.15</x:v>
      </x:c>
      <x:c r="E310" t="str">
        <x:v>V122521</x:v>
      </x:c>
      <x:c r="F310" s="36" t="str">
        <x:v>https://www.bankofcanada.ca/wp-content/uploads/2010/09/selected_historical_v122521.pdf</x:v>
      </x:c>
    </x:row>
    <x:row r="311">
      <x:c r="A311" t="str">
        <x:v>1998-10</x:v>
      </x:c>
      <x:c r="B311" t="n">
        <x:v>1998</x:v>
      </x:c>
      <x:c r="C311" t="n">
        <x:v>10</x:v>
      </x:c>
      <x:c r="D311" s="42" t="n">
        <x:v>6.75</x:v>
      </x:c>
      <x:c r="E311" t="str">
        <x:v>V122521</x:v>
      </x:c>
      <x:c r="F311" s="36" t="str">
        <x:v>https://www.bankofcanada.ca/wp-content/uploads/2010/09/selected_historical_v122521.pdf</x:v>
      </x:c>
    </x:row>
    <x:row r="312">
      <x:c r="A312" t="str">
        <x:v>1998-11</x:v>
      </x:c>
      <x:c r="B312" t="n">
        <x:v>1998</x:v>
      </x:c>
      <x:c r="C312" t="n">
        <x:v>11</x:v>
      </x:c>
      <x:c r="D312" s="42" t="n">
        <x:v>7.15</x:v>
      </x:c>
      <x:c r="E312" t="str">
        <x:v>V122521</x:v>
      </x:c>
      <x:c r="F312" s="36" t="str">
        <x:v>https://www.bankofcanada.ca/wp-content/uploads/2010/09/selected_historical_v122521.pdf</x:v>
      </x:c>
    </x:row>
    <x:row r="313">
      <x:c r="A313" t="str">
        <x:v>1998-12</x:v>
      </x:c>
      <x:c r="B313" t="n">
        <x:v>1998</x:v>
      </x:c>
      <x:c r="C313" t="n">
        <x:v>12</x:v>
      </x:c>
      <x:c r="D313" s="42" t="n">
        <x:v>6.6</x:v>
      </x:c>
      <x:c r="E313" t="str">
        <x:v>V122521</x:v>
      </x:c>
      <x:c r="F313" s="36" t="str">
        <x:v>https://www.bankofcanada.ca/wp-content/uploads/2010/09/selected_historical_v122521.pdf</x:v>
      </x:c>
    </x:row>
    <x:row r="314">
      <x:c r="A314" t="str">
        <x:v>1999-01</x:v>
      </x:c>
      <x:c r="B314" t="n">
        <x:v>1999</x:v>
      </x:c>
      <x:c r="C314" t="n">
        <x:v>1</x:v>
      </x:c>
      <x:c r="D314" s="42" t="n">
        <x:v>6.9</x:v>
      </x:c>
      <x:c r="E314" t="str">
        <x:v>V122521</x:v>
      </x:c>
      <x:c r="F314" s="36" t="str">
        <x:v>https://www.bankofcanada.ca/wp-content/uploads/2010/09/selected_historical_v122521.pdf</x:v>
      </x:c>
    </x:row>
    <x:row r="315">
      <x:c r="A315" t="str">
        <x:v>1999-02</x:v>
      </x:c>
      <x:c r="B315" t="n">
        <x:v>1999</x:v>
      </x:c>
      <x:c r="C315" t="n">
        <x:v>2</x:v>
      </x:c>
      <x:c r="D315" s="42" t="n">
        <x:v>6.9</x:v>
      </x:c>
      <x:c r="E315" t="str">
        <x:v>V122521</x:v>
      </x:c>
      <x:c r="F315" s="36" t="str">
        <x:v>https://www.bankofcanada.ca/wp-content/uploads/2010/09/selected_historical_v122521.pdf</x:v>
      </x:c>
    </x:row>
    <x:row r="316">
      <x:c r="A316" t="str">
        <x:v>1999-03</x:v>
      </x:c>
      <x:c r="B316" t="n">
        <x:v>1999</x:v>
      </x:c>
      <x:c r="C316" t="n">
        <x:v>3</x:v>
      </x:c>
      <x:c r="D316" s="42" t="n">
        <x:v>6.95</x:v>
      </x:c>
      <x:c r="E316" t="str">
        <x:v>V122521</x:v>
      </x:c>
      <x:c r="F316" s="36" t="str">
        <x:v>https://www.bankofcanada.ca/wp-content/uploads/2010/09/selected_historical_v122521.pdf</x:v>
      </x:c>
    </x:row>
    <x:row r="317">
      <x:c r="A317" t="str">
        <x:v>1999-04</x:v>
      </x:c>
      <x:c r="B317" t="n">
        <x:v>1999</x:v>
      </x:c>
      <x:c r="C317" t="n">
        <x:v>4</x:v>
      </x:c>
      <x:c r="D317" s="42" t="n">
        <x:v>6.95</x:v>
      </x:c>
      <x:c r="E317" t="str">
        <x:v>V122521</x:v>
      </x:c>
      <x:c r="F317" s="36" t="str">
        <x:v>https://www.bankofcanada.ca/wp-content/uploads/2010/09/selected_historical_v122521.pdf</x:v>
      </x:c>
    </x:row>
    <x:row r="318">
      <x:c r="A318" t="str">
        <x:v>1999-05</x:v>
      </x:c>
      <x:c r="B318" t="n">
        <x:v>1999</x:v>
      </x:c>
      <x:c r="C318" t="n">
        <x:v>5</x:v>
      </x:c>
      <x:c r="D318" s="42" t="n">
        <x:v>7.3</x:v>
      </x:c>
      <x:c r="E318" t="str">
        <x:v>V122521</x:v>
      </x:c>
      <x:c r="F318" s="36" t="str">
        <x:v>https://www.bankofcanada.ca/wp-content/uploads/2010/09/selected_historical_v122521.pdf</x:v>
      </x:c>
    </x:row>
    <x:row r="319">
      <x:c r="A319" t="str">
        <x:v>1999-06</x:v>
      </x:c>
      <x:c r="B319" t="n">
        <x:v>1999</x:v>
      </x:c>
      <x:c r="C319" t="n">
        <x:v>6</x:v>
      </x:c>
      <x:c r="D319" s="42" t="n">
        <x:v>7.7</x:v>
      </x:c>
      <x:c r="E319" t="str">
        <x:v>V122521</x:v>
      </x:c>
      <x:c r="F319" s="36" t="str">
        <x:v>https://www.bankofcanada.ca/wp-content/uploads/2010/09/selected_historical_v122521.pdf</x:v>
      </x:c>
    </x:row>
    <x:row r="320">
      <x:c r="A320" t="str">
        <x:v>1999-07</x:v>
      </x:c>
      <x:c r="B320" t="n">
        <x:v>1999</x:v>
      </x:c>
      <x:c r="C320" t="n">
        <x:v>7</x:v>
      </x:c>
      <x:c r="D320" s="42" t="n">
        <x:v>7.75</x:v>
      </x:c>
      <x:c r="E320" t="str">
        <x:v>V122521</x:v>
      </x:c>
      <x:c r="F320" s="36" t="str">
        <x:v>https://www.bankofcanada.ca/wp-content/uploads/2010/09/selected_historical_v122521.pdf</x:v>
      </x:c>
    </x:row>
    <x:row r="321">
      <x:c r="A321" t="str">
        <x:v>1999-08</x:v>
      </x:c>
      <x:c r="B321" t="n">
        <x:v>1999</x:v>
      </x:c>
      <x:c r="C321" t="n">
        <x:v>8</x:v>
      </x:c>
      <x:c r="D321" s="42" t="n">
        <x:v>7.8</x:v>
      </x:c>
      <x:c r="E321" t="str">
        <x:v>V122521</x:v>
      </x:c>
      <x:c r="F321" s="36" t="str">
        <x:v>https://www.bankofcanada.ca/wp-content/uploads/2010/09/selected_historical_v122521.pdf</x:v>
      </x:c>
    </x:row>
    <x:row r="322">
      <x:c r="A322" t="str">
        <x:v>1999-09</x:v>
      </x:c>
      <x:c r="B322" t="n">
        <x:v>1999</x:v>
      </x:c>
      <x:c r="C322" t="n">
        <x:v>9</x:v>
      </x:c>
      <x:c r="D322" s="42" t="n">
        <x:v>7.7</x:v>
      </x:c>
      <x:c r="E322" t="str">
        <x:v>V122521</x:v>
      </x:c>
      <x:c r="F322" s="36" t="str">
        <x:v>https://www.bankofcanada.ca/wp-content/uploads/2010/09/selected_historical_v122521.pdf</x:v>
      </x:c>
    </x:row>
    <x:row r="323">
      <x:c r="A323" t="str">
        <x:v>1999-10</x:v>
      </x:c>
      <x:c r="B323" t="n">
        <x:v>1999</x:v>
      </x:c>
      <x:c r="C323" t="n">
        <x:v>10</x:v>
      </x:c>
      <x:c r="D323" s="42" t="n">
        <x:v>8.25</x:v>
      </x:c>
      <x:c r="E323" t="str">
        <x:v>V122521</x:v>
      </x:c>
      <x:c r="F323" s="36" t="str">
        <x:v>https://www.bankofcanada.ca/wp-content/uploads/2010/09/selected_historical_v122521.pdf</x:v>
      </x:c>
    </x:row>
    <x:row r="324">
      <x:c r="A324" t="str">
        <x:v>1999-11</x:v>
      </x:c>
      <x:c r="B324" t="n">
        <x:v>1999</x:v>
      </x:c>
      <x:c r="C324" t="n">
        <x:v>11</x:v>
      </x:c>
      <x:c r="D324" s="42" t="n">
        <x:v>8.25</x:v>
      </x:c>
      <x:c r="E324" t="str">
        <x:v>V122521</x:v>
      </x:c>
      <x:c r="F324" s="36" t="str">
        <x:v>https://www.bankofcanada.ca/wp-content/uploads/2010/09/selected_historical_v122521.pdf</x:v>
      </x:c>
    </x:row>
    <x:row r="325">
      <x:c r="A325" t="str">
        <x:v>1999-12</x:v>
      </x:c>
      <x:c r="B325" t="n">
        <x:v>1999</x:v>
      </x:c>
      <x:c r="C325" t="n">
        <x:v>12</x:v>
      </x:c>
      <x:c r="D325" s="42" t="n">
        <x:v>8.25</x:v>
      </x:c>
      <x:c r="E325" t="str">
        <x:v>V122521</x:v>
      </x:c>
      <x:c r="F325" s="36" t="str">
        <x:v>https://www.bankofcanada.ca/wp-content/uploads/2010/09/selected_historical_v122521.pdf</x:v>
      </x:c>
    </x:row>
    <x:row r="326">
      <x:c r="A326" t="str">
        <x:v>2000-01</x:v>
      </x:c>
      <x:c r="B326" t="n">
        <x:v>2000</x:v>
      </x:c>
      <x:c r="C326" t="n">
        <x:v>1</x:v>
      </x:c>
      <x:c r="D326" s="42" t="n">
        <x:v>8.55</x:v>
      </x:c>
      <x:c r="E326" t="str">
        <x:v>V122521</x:v>
      </x:c>
      <x:c r="F326" s="36" t="str">
        <x:v>https://www.bankofcanada.ca/wp-content/uploads/2010/09/selected_historical_v122521.pdf</x:v>
      </x:c>
    </x:row>
    <x:row r="327">
      <x:c r="A327" t="str">
        <x:v>2000-02</x:v>
      </x:c>
      <x:c r="B327" t="n">
        <x:v>2000</x:v>
      </x:c>
      <x:c r="C327" t="n">
        <x:v>2</x:v>
      </x:c>
      <x:c r="D327" s="42" t="n">
        <x:v>8.55</x:v>
      </x:c>
      <x:c r="E327" t="str">
        <x:v>V122521</x:v>
      </x:c>
      <x:c r="F327" s="36" t="str">
        <x:v>https://www.bankofcanada.ca/wp-content/uploads/2010/09/selected_historical_v122521.pdf</x:v>
      </x:c>
    </x:row>
    <x:row r="328">
      <x:c r="A328" t="str">
        <x:v>2000-03</x:v>
      </x:c>
      <x:c r="B328" t="n">
        <x:v>2000</x:v>
      </x:c>
      <x:c r="C328" t="n">
        <x:v>3</x:v>
      </x:c>
      <x:c r="D328" s="42" t="n">
        <x:v>8.35</x:v>
      </x:c>
      <x:c r="E328" t="str">
        <x:v>V122521</x:v>
      </x:c>
      <x:c r="F328" s="36" t="str">
        <x:v>https://www.bankofcanada.ca/wp-content/uploads/2010/09/selected_historical_v122521.pdf</x:v>
      </x:c>
    </x:row>
    <x:row r="329">
      <x:c r="A329" t="str">
        <x:v>2000-04</x:v>
      </x:c>
      <x:c r="B329" t="n">
        <x:v>2000</x:v>
      </x:c>
      <x:c r="C329" t="n">
        <x:v>4</x:v>
      </x:c>
      <x:c r="D329" s="42" t="n">
        <x:v>8.35</x:v>
      </x:c>
      <x:c r="E329" t="str">
        <x:v>V122521</x:v>
      </x:c>
      <x:c r="F329" s="36" t="str">
        <x:v>https://www.bankofcanada.ca/wp-content/uploads/2010/09/selected_historical_v122521.pdf</x:v>
      </x:c>
    </x:row>
    <x:row r="330">
      <x:c r="A330" t="str">
        <x:v>2000-05</x:v>
      </x:c>
      <x:c r="B330" t="n">
        <x:v>2000</x:v>
      </x:c>
      <x:c r="C330" t="n">
        <x:v>5</x:v>
      </x:c>
      <x:c r="D330" s="42" t="n">
        <x:v>8.75</x:v>
      </x:c>
      <x:c r="E330" t="str">
        <x:v>V122521</x:v>
      </x:c>
      <x:c r="F330" s="36" t="str">
        <x:v>https://www.bankofcanada.ca/wp-content/uploads/2010/09/selected_historical_v122521.pdf</x:v>
      </x:c>
    </x:row>
    <x:row r="331">
      <x:c r="A331" t="str">
        <x:v>2000-06</x:v>
      </x:c>
      <x:c r="B331" t="n">
        <x:v>2000</x:v>
      </x:c>
      <x:c r="C331" t="n">
        <x:v>6</x:v>
      </x:c>
      <x:c r="D331" s="42" t="n">
        <x:v>8.45</x:v>
      </x:c>
      <x:c r="E331" t="str">
        <x:v>V122521</x:v>
      </x:c>
      <x:c r="F331" s="36" t="str">
        <x:v>https://www.bankofcanada.ca/wp-content/uploads/2010/09/selected_historical_v122521.pdf</x:v>
      </x:c>
    </x:row>
    <x:row r="332">
      <x:c r="A332" t="str">
        <x:v>2000-07</x:v>
      </x:c>
      <x:c r="B332" t="n">
        <x:v>2000</x:v>
      </x:c>
      <x:c r="C332" t="n">
        <x:v>7</x:v>
      </x:c>
      <x:c r="D332" s="42" t="n">
        <x:v>8.25</x:v>
      </x:c>
      <x:c r="E332" t="str">
        <x:v>V122521</x:v>
      </x:c>
      <x:c r="F332" s="36" t="str">
        <x:v>https://www.bankofcanada.ca/wp-content/uploads/2010/09/selected_historical_v122521.pdf</x:v>
      </x:c>
    </x:row>
    <x:row r="333">
      <x:c r="A333" t="str">
        <x:v>2000-08</x:v>
      </x:c>
      <x:c r="B333" t="n">
        <x:v>2000</x:v>
      </x:c>
      <x:c r="C333" t="n">
        <x:v>8</x:v>
      </x:c>
      <x:c r="D333" s="42" t="n">
        <x:v>8.25</x:v>
      </x:c>
      <x:c r="E333" t="str">
        <x:v>V122521</x:v>
      </x:c>
      <x:c r="F333" s="36" t="str">
        <x:v>https://www.bankofcanada.ca/wp-content/uploads/2010/09/selected_historical_v122521.pdf</x:v>
      </x:c>
    </x:row>
    <x:row r="334">
      <x:c r="A334" t="str">
        <x:v>2000-09</x:v>
      </x:c>
      <x:c r="B334" t="n">
        <x:v>2000</x:v>
      </x:c>
      <x:c r="C334" t="n">
        <x:v>9</x:v>
      </x:c>
      <x:c r="D334" s="42" t="n">
        <x:v>8.25</x:v>
      </x:c>
      <x:c r="E334" t="str">
        <x:v>V122521</x:v>
      </x:c>
      <x:c r="F334" s="36" t="str">
        <x:v>https://www.bankofcanada.ca/wp-content/uploads/2010/09/selected_historical_v122521.pdf</x:v>
      </x:c>
    </x:row>
    <x:row r="335">
      <x:c r="A335" t="str">
        <x:v>2000-10</x:v>
      </x:c>
      <x:c r="B335" t="n">
        <x:v>2000</x:v>
      </x:c>
      <x:c r="C335" t="n">
        <x:v>10</x:v>
      </x:c>
      <x:c r="D335" s="42" t="n">
        <x:v>8.25</x:v>
      </x:c>
      <x:c r="E335" t="str">
        <x:v>V122521</x:v>
      </x:c>
      <x:c r="F335" s="36" t="str">
        <x:v>https://www.bankofcanada.ca/wp-content/uploads/2010/09/selected_historical_v122521.pdf</x:v>
      </x:c>
    </x:row>
    <x:row r="336">
      <x:c r="A336" t="str">
        <x:v>2000-11</x:v>
      </x:c>
      <x:c r="B336" t="n">
        <x:v>2000</x:v>
      </x:c>
      <x:c r="C336" t="n">
        <x:v>11</x:v>
      </x:c>
      <x:c r="D336" s="42" t="n">
        <x:v>8.25</x:v>
      </x:c>
      <x:c r="E336" t="str">
        <x:v>V122521</x:v>
      </x:c>
      <x:c r="F336" s="36" t="str">
        <x:v>https://www.bankofcanada.ca/wp-content/uploads/2010/09/selected_historical_v122521.pdf</x:v>
      </x:c>
    </x:row>
    <x:row r="337">
      <x:c r="A337" t="str">
        <x:v>2000-12</x:v>
      </x:c>
      <x:c r="B337" t="n">
        <x:v>2000</x:v>
      </x:c>
      <x:c r="C337" t="n">
        <x:v>12</x:v>
      </x:c>
      <x:c r="D337" s="42" t="n">
        <x:v>7.95</x:v>
      </x:c>
      <x:c r="E337" t="str">
        <x:v>V122521</x:v>
      </x:c>
      <x:c r="F337" s="36" t="str">
        <x:v>https://www.bankofcanada.ca/wp-content/uploads/2010/09/selected_historical_v122521.pdf</x:v>
      </x:c>
    </x:row>
    <x:row r="338">
      <x:c r="A338" t="str">
        <x:v>2001-01</x:v>
      </x:c>
      <x:c r="B338" t="n">
        <x:v>2001</x:v>
      </x:c>
      <x:c r="C338" t="n">
        <x:v>1</x:v>
      </x:c>
      <x:c r="D338" s="42" t="n">
        <x:v>7.75</x:v>
      </x:c>
      <x:c r="E338" t="str">
        <x:v>V122521</x:v>
      </x:c>
      <x:c r="F338" s="36" t="str">
        <x:v>https://www.bankofcanada.ca/wp-content/uploads/2010/09/selected_historical_v122521.pdf</x:v>
      </x:c>
    </x:row>
    <x:row r="339">
      <x:c r="A339" t="str">
        <x:v>2001-02</x:v>
      </x:c>
      <x:c r="B339" t="n">
        <x:v>2001</x:v>
      </x:c>
      <x:c r="C339" t="n">
        <x:v>2</x:v>
      </x:c>
      <x:c r="D339" s="42" t="n">
        <x:v>7.75</x:v>
      </x:c>
      <x:c r="E339" t="str">
        <x:v>V122521</x:v>
      </x:c>
      <x:c r="F339" s="36" t="str">
        <x:v>https://www.bankofcanada.ca/wp-content/uploads/2010/09/selected_historical_v122521.pdf</x:v>
      </x:c>
    </x:row>
    <x:row r="340">
      <x:c r="A340" t="str">
        <x:v>2001-03</x:v>
      </x:c>
      <x:c r="B340" t="n">
        <x:v>2001</x:v>
      </x:c>
      <x:c r="C340" t="n">
        <x:v>3</x:v>
      </x:c>
      <x:c r="D340" s="42" t="n">
        <x:v>7.25</x:v>
      </x:c>
      <x:c r="E340" t="str">
        <x:v>V122521</x:v>
      </x:c>
      <x:c r="F340" s="36" t="str">
        <x:v>https://www.bankofcanada.ca/wp-content/uploads/2010/09/selected_historical_v122521.pdf</x:v>
      </x:c>
    </x:row>
    <x:row r="341">
      <x:c r="A341" t="str">
        <x:v>2001-04</x:v>
      </x:c>
      <x:c r="B341" t="n">
        <x:v>2001</x:v>
      </x:c>
      <x:c r="C341" t="n">
        <x:v>4</x:v>
      </x:c>
      <x:c r="D341" s="42" t="n">
        <x:v>7.5</x:v>
      </x:c>
      <x:c r="E341" t="str">
        <x:v>V122521</x:v>
      </x:c>
      <x:c r="F341" s="36" t="str">
        <x:v>https://www.bankofcanada.ca/wp-content/uploads/2010/09/selected_historical_v122521.pdf</x:v>
      </x:c>
    </x:row>
    <x:row r="342">
      <x:c r="A342" t="str">
        <x:v>2001-05</x:v>
      </x:c>
      <x:c r="B342" t="n">
        <x:v>2001</x:v>
      </x:c>
      <x:c r="C342" t="n">
        <x:v>5</x:v>
      </x:c>
      <x:c r="D342" s="42" t="n">
        <x:v>7.75</x:v>
      </x:c>
      <x:c r="E342" t="str">
        <x:v>V122521</x:v>
      </x:c>
      <x:c r="F342" s="36" t="str">
        <x:v>https://www.bankofcanada.ca/wp-content/uploads/2010/09/selected_historical_v122521.pdf</x:v>
      </x:c>
    </x:row>
    <x:row r="343">
      <x:c r="A343" t="str">
        <x:v>2001-06</x:v>
      </x:c>
      <x:c r="B343" t="n">
        <x:v>2001</x:v>
      </x:c>
      <x:c r="C343" t="n">
        <x:v>6</x:v>
      </x:c>
      <x:c r="D343" s="42" t="n">
        <x:v>7.75</x:v>
      </x:c>
      <x:c r="E343" t="str">
        <x:v>V122521</x:v>
      </x:c>
      <x:c r="F343" s="36" t="str">
        <x:v>https://www.bankofcanada.ca/wp-content/uploads/2010/09/selected_historical_v122521.pdf</x:v>
      </x:c>
    </x:row>
    <x:row r="344">
      <x:c r="A344" t="str">
        <x:v>2001-07</x:v>
      </x:c>
      <x:c r="B344" t="n">
        <x:v>2001</x:v>
      </x:c>
      <x:c r="C344" t="n">
        <x:v>7</x:v>
      </x:c>
      <x:c r="D344" s="42" t="n">
        <x:v>7.75</x:v>
      </x:c>
      <x:c r="E344" t="str">
        <x:v>V122521</x:v>
      </x:c>
      <x:c r="F344" s="36" t="str">
        <x:v>https://www.bankofcanada.ca/wp-content/uploads/2010/09/selected_historical_v122521.pdf</x:v>
      </x:c>
    </x:row>
    <x:row r="345">
      <x:c r="A345" t="str">
        <x:v>2001-08</x:v>
      </x:c>
      <x:c r="B345" t="n">
        <x:v>2001</x:v>
      </x:c>
      <x:c r="C345" t="n">
        <x:v>8</x:v>
      </x:c>
      <x:c r="D345" s="42" t="n">
        <x:v>7.6</x:v>
      </x:c>
      <x:c r="E345" t="str">
        <x:v>V122521</x:v>
      </x:c>
      <x:c r="F345" s="36" t="str">
        <x:v>https://www.bankofcanada.ca/wp-content/uploads/2010/09/selected_historical_v122521.pdf</x:v>
      </x:c>
    </x:row>
    <x:row r="346">
      <x:c r="A346" t="str">
        <x:v>2001-09</x:v>
      </x:c>
      <x:c r="B346" t="n">
        <x:v>2001</x:v>
      </x:c>
      <x:c r="C346" t="n">
        <x:v>9</x:v>
      </x:c>
      <x:c r="D346" s="42" t="n">
        <x:v>7.15</x:v>
      </x:c>
      <x:c r="E346" t="str">
        <x:v>V122521</x:v>
      </x:c>
      <x:c r="F346" s="36" t="str">
        <x:v>https://www.bankofcanada.ca/wp-content/uploads/2010/09/selected_historical_v122521.pdf</x:v>
      </x:c>
    </x:row>
    <x:row r="347">
      <x:c r="A347" t="str">
        <x:v>2001-10</x:v>
      </x:c>
      <x:c r="B347" t="n">
        <x:v>2001</x:v>
      </x:c>
      <x:c r="C347" t="n">
        <x:v>10</x:v>
      </x:c>
      <x:c r="D347" s="42" t="n">
        <x:v>6.9</x:v>
      </x:c>
      <x:c r="E347" t="str">
        <x:v>V122521</x:v>
      </x:c>
      <x:c r="F347" s="36" t="str">
        <x:v>https://www.bankofcanada.ca/wp-content/uploads/2010/09/selected_historical_v122521.pdf</x:v>
      </x:c>
    </x:row>
    <x:row r="348">
      <x:c r="A348" t="str">
        <x:v>2001-11</x:v>
      </x:c>
      <x:c r="B348" t="n">
        <x:v>2001</x:v>
      </x:c>
      <x:c r="C348" t="n">
        <x:v>11</x:v>
      </x:c>
      <x:c r="D348" s="42" t="n">
        <x:v>6.85</x:v>
      </x:c>
      <x:c r="E348" t="str">
        <x:v>V122521</x:v>
      </x:c>
      <x:c r="F348" s="36" t="str">
        <x:v>https://www.bankofcanada.ca/wp-content/uploads/2010/09/selected_historical_v122521.pdf</x:v>
      </x:c>
    </x:row>
    <x:row r="349">
      <x:c r="A349" t="str">
        <x:v>2001-12</x:v>
      </x:c>
      <x:c r="B349" t="n">
        <x:v>2001</x:v>
      </x:c>
      <x:c r="C349" t="n">
        <x:v>12</x:v>
      </x:c>
      <x:c r="D349" s="42" t="n">
        <x:v>6.85</x:v>
      </x:c>
      <x:c r="E349" t="str">
        <x:v>V122521</x:v>
      </x:c>
      <x:c r="F349" s="36" t="str">
        <x:v>https://www.bankofcanada.ca/wp-content/uploads/2010/09/selected_historical_v122521.pdf</x:v>
      </x:c>
    </x:row>
    <x:row r="350">
      <x:c r="A350" t="str">
        <x:v>2002-01</x:v>
      </x:c>
      <x:c r="B350" t="n">
        <x:v>2002</x:v>
      </x:c>
      <x:c r="C350" t="n">
        <x:v>1</x:v>
      </x:c>
      <x:c r="D350" s="42" t="n">
        <x:v>7</x:v>
      </x:c>
      <x:c r="E350" t="str">
        <x:v>V122521</x:v>
      </x:c>
      <x:c r="F350" s="36" t="str">
        <x:v>https://www.bankofcanada.ca/wp-content/uploads/2010/09/selected_historical_v122521.pdf</x:v>
      </x:c>
    </x:row>
    <x:row r="351">
      <x:c r="A351" t="str">
        <x:v>2002-02</x:v>
      </x:c>
      <x:c r="B351" t="n">
        <x:v>2002</x:v>
      </x:c>
      <x:c r="C351" t="n">
        <x:v>2</x:v>
      </x:c>
      <x:c r="D351" s="42" t="n">
        <x:v>6.85</x:v>
      </x:c>
      <x:c r="E351" t="str">
        <x:v>V122521</x:v>
      </x:c>
      <x:c r="F351" s="36" t="str">
        <x:v>https://www.bankofcanada.ca/wp-content/uploads/2010/09/selected_historical_v122521.pdf</x:v>
      </x:c>
    </x:row>
    <x:row r="352">
      <x:c r="A352" t="str">
        <x:v>2002-03</x:v>
      </x:c>
      <x:c r="B352" t="n">
        <x:v>2002</x:v>
      </x:c>
      <x:c r="C352" t="n">
        <x:v>3</x:v>
      </x:c>
      <x:c r="D352" s="42" t="n">
        <x:v>7.3</x:v>
      </x:c>
      <x:c r="E352" t="str">
        <x:v>V122521</x:v>
      </x:c>
      <x:c r="F352" s="36" t="str">
        <x:v>https://www.bankofcanada.ca/wp-content/uploads/2010/09/selected_historical_v122521.pdf</x:v>
      </x:c>
    </x:row>
    <x:row r="353">
      <x:c r="A353" t="str">
        <x:v>2002-04</x:v>
      </x:c>
      <x:c r="B353" t="n">
        <x:v>2002</x:v>
      </x:c>
      <x:c r="C353" t="n">
        <x:v>4</x:v>
      </x:c>
      <x:c r="D353" s="42" t="n">
        <x:v>7.45</x:v>
      </x:c>
      <x:c r="E353" t="str">
        <x:v>V122521</x:v>
      </x:c>
      <x:c r="F353" s="36" t="str">
        <x:v>https://www.bankofcanada.ca/wp-content/uploads/2010/09/selected_historical_v122521.pdf</x:v>
      </x:c>
    </x:row>
    <x:row r="354">
      <x:c r="A354" t="str">
        <x:v>2002-05</x:v>
      </x:c>
      <x:c r="B354" t="n">
        <x:v>2002</x:v>
      </x:c>
      <x:c r="C354" t="n">
        <x:v>5</x:v>
      </x:c>
      <x:c r="D354" s="42" t="n">
        <x:v>7.4</x:v>
      </x:c>
      <x:c r="E354" t="str">
        <x:v>V122521</x:v>
      </x:c>
      <x:c r="F354" s="36" t="str">
        <x:v>https://www.bankofcanada.ca/wp-content/uploads/2010/09/selected_historical_v122521.pdf</x:v>
      </x:c>
    </x:row>
    <x:row r="355">
      <x:c r="A355" t="str">
        <x:v>2002-06</x:v>
      </x:c>
      <x:c r="B355" t="n">
        <x:v>2002</x:v>
      </x:c>
      <x:c r="C355" t="n">
        <x:v>6</x:v>
      </x:c>
      <x:c r="D355" s="42" t="n">
        <x:v>7.25</x:v>
      </x:c>
      <x:c r="E355" t="str">
        <x:v>V122521</x:v>
      </x:c>
      <x:c r="F355" s="36" t="str">
        <x:v>https://www.bankofcanada.ca/wp-content/uploads/2010/09/selected_historical_v122521.pdf</x:v>
      </x:c>
    </x:row>
    <x:row r="356">
      <x:c r="A356" t="str">
        <x:v>2002-07</x:v>
      </x:c>
      <x:c r="B356" t="n">
        <x:v>2002</x:v>
      </x:c>
      <x:c r="C356" t="n">
        <x:v>7</x:v>
      </x:c>
      <x:c r="D356" s="42" t="n">
        <x:v>7.05</x:v>
      </x:c>
      <x:c r="E356" t="str">
        <x:v>V122521</x:v>
      </x:c>
      <x:c r="F356" s="36" t="str">
        <x:v>https://www.bankofcanada.ca/wp-content/uploads/2010/09/selected_historical_v122521.pdf</x:v>
      </x:c>
    </x:row>
    <x:row r="357">
      <x:c r="A357" t="str">
        <x:v>2002-08</x:v>
      </x:c>
      <x:c r="B357" t="n">
        <x:v>2002</x:v>
      </x:c>
      <x:c r="C357" t="n">
        <x:v>8</x:v>
      </x:c>
      <x:c r="D357" s="42" t="n">
        <x:v>6.8</x:v>
      </x:c>
      <x:c r="E357" t="str">
        <x:v>V122521</x:v>
      </x:c>
      <x:c r="F357" s="36" t="str">
        <x:v>https://www.bankofcanada.ca/wp-content/uploads/2010/09/selected_historical_v122521.pdf</x:v>
      </x:c>
    </x:row>
    <x:row r="358">
      <x:c r="A358" t="str">
        <x:v>2002-09</x:v>
      </x:c>
      <x:c r="B358" t="n">
        <x:v>2002</x:v>
      </x:c>
      <x:c r="C358" t="n">
        <x:v>9</x:v>
      </x:c>
      <x:c r="D358" s="42" t="n">
        <x:v>6.7</x:v>
      </x:c>
      <x:c r="E358" t="str">
        <x:v>V122521</x:v>
      </x:c>
      <x:c r="F358" s="36" t="str">
        <x:v>https://www.bankofcanada.ca/wp-content/uploads/2010/09/selected_historical_v122521.pdf</x:v>
      </x:c>
    </x:row>
    <x:row r="359">
      <x:c r="A359" t="str">
        <x:v>2002-10</x:v>
      </x:c>
      <x:c r="B359" t="n">
        <x:v>2002</x:v>
      </x:c>
      <x:c r="C359" t="n">
        <x:v>10</x:v>
      </x:c>
      <x:c r="D359" s="42" t="n">
        <x:v>7</x:v>
      </x:c>
      <x:c r="E359" t="str">
        <x:v>V122521</x:v>
      </x:c>
      <x:c r="F359" s="36" t="str">
        <x:v>https://www.bankofcanada.ca/wp-content/uploads/2010/09/selected_historical_v122521.pdf</x:v>
      </x:c>
    </x:row>
    <x:row r="360">
      <x:c r="A360" t="str">
        <x:v>2002-11</x:v>
      </x:c>
      <x:c r="B360" t="n">
        <x:v>2002</x:v>
      </x:c>
      <x:c r="C360" t="n">
        <x:v>11</x:v>
      </x:c>
      <x:c r="D360" s="42" t="n">
        <x:v>6.7</x:v>
      </x:c>
      <x:c r="E360" t="str">
        <x:v>V122521</x:v>
      </x:c>
      <x:c r="F360" s="36" t="str">
        <x:v>https://www.bankofcanada.ca/wp-content/uploads/2010/09/selected_historical_v122521.pdf</x:v>
      </x:c>
    </x:row>
    <x:row r="361">
      <x:c r="A361" t="str">
        <x:v>2002-12</x:v>
      </x:c>
      <x:c r="B361" t="n">
        <x:v>2002</x:v>
      </x:c>
      <x:c r="C361" t="n">
        <x:v>12</x:v>
      </x:c>
      <x:c r="D361" s="42" t="n">
        <x:v>6.7</x:v>
      </x:c>
      <x:c r="E361" t="str">
        <x:v>V122521</x:v>
      </x:c>
      <x:c r="F361" s="36" t="str">
        <x:v>https://www.bankofcanada.ca/wp-content/uploads/2010/09/selected_historical_v122521.pdf</x:v>
      </x:c>
    </x:row>
    <x:row r="362">
      <x:c r="A362" t="str">
        <x:v>2003-01</x:v>
      </x:c>
      <x:c r="B362" t="n">
        <x:v>2003</x:v>
      </x:c>
      <x:c r="C362" t="n">
        <x:v>1</x:v>
      </x:c>
      <x:c r="D362" s="42" t="n">
        <x:v>6.45</x:v>
      </x:c>
      <x:c r="E362" t="str">
        <x:v>V122521</x:v>
      </x:c>
      <x:c r="F362" s="36" t="str">
        <x:v>https://www.bankofcanada.ca/wp-content/uploads/2010/09/selected_historical_v122521.pdf</x:v>
      </x:c>
    </x:row>
    <x:row r="363">
      <x:c r="A363" t="str">
        <x:v>2003-02</x:v>
      </x:c>
      <x:c r="B363" t="n">
        <x:v>2003</x:v>
      </x:c>
      <x:c r="C363" t="n">
        <x:v>2</x:v>
      </x:c>
      <x:c r="D363" s="42" t="n">
        <x:v>6.6</x:v>
      </x:c>
      <x:c r="E363" t="str">
        <x:v>V122521</x:v>
      </x:c>
      <x:c r="F363" s="36" t="str">
        <x:v>https://www.bankofcanada.ca/wp-content/uploads/2010/09/selected_historical_v122521.pdf</x:v>
      </x:c>
    </x:row>
    <x:row r="364">
      <x:c r="A364" t="str">
        <x:v>2003-03</x:v>
      </x:c>
      <x:c r="B364" t="n">
        <x:v>2003</x:v>
      </x:c>
      <x:c r="C364" t="n">
        <x:v>3</x:v>
      </x:c>
      <x:c r="D364" s="42" t="n">
        <x:v>6.85</x:v>
      </x:c>
      <x:c r="E364" t="str">
        <x:v>V122521</x:v>
      </x:c>
      <x:c r="F364" s="36" t="str">
        <x:v>https://www.bankofcanada.ca/wp-content/uploads/2010/09/selected_historical_v122521.pdf</x:v>
      </x:c>
    </x:row>
    <x:row r="365">
      <x:c r="A365" t="str">
        <x:v>2003-04</x:v>
      </x:c>
      <x:c r="B365" t="n">
        <x:v>2003</x:v>
      </x:c>
      <x:c r="C365" t="n">
        <x:v>4</x:v>
      </x:c>
      <x:c r="D365" s="42" t="n">
        <x:v>6.65</x:v>
      </x:c>
      <x:c r="E365" t="str">
        <x:v>V122521</x:v>
      </x:c>
      <x:c r="F365" s="36" t="str">
        <x:v>https://www.bankofcanada.ca/wp-content/uploads/2010/09/selected_historical_v122521.pdf</x:v>
      </x:c>
    </x:row>
    <x:row r="366">
      <x:c r="A366" t="str">
        <x:v>2003-05</x:v>
      </x:c>
      <x:c r="B366" t="n">
        <x:v>2003</x:v>
      </x:c>
      <x:c r="C366" t="n">
        <x:v>5</x:v>
      </x:c>
      <x:c r="D366" s="42" t="n">
        <x:v>6.15</x:v>
      </x:c>
      <x:c r="E366" t="str">
        <x:v>V122521</x:v>
      </x:c>
      <x:c r="F366" s="36" t="str">
        <x:v>https://www.bankofcanada.ca/wp-content/uploads/2010/09/selected_historical_v122521.pdf</x:v>
      </x:c>
    </x:row>
    <x:row r="367">
      <x:c r="A367" t="str">
        <x:v>2003-06</x:v>
      </x:c>
      <x:c r="B367" t="n">
        <x:v>2003</x:v>
      </x:c>
      <x:c r="C367" t="n">
        <x:v>6</x:v>
      </x:c>
      <x:c r="D367" s="42" t="n">
        <x:v>5.8</x:v>
      </x:c>
      <x:c r="E367" t="str">
        <x:v>V122521</x:v>
      </x:c>
      <x:c r="F367" s="36" t="str">
        <x:v>https://www.bankofcanada.ca/wp-content/uploads/2010/09/selected_historical_v122521.pdf</x:v>
      </x:c>
    </x:row>
    <x:row r="368">
      <x:c r="A368" t="str">
        <x:v>2003-07</x:v>
      </x:c>
      <x:c r="B368" t="n">
        <x:v>2003</x:v>
      </x:c>
      <x:c r="C368" t="n">
        <x:v>7</x:v>
      </x:c>
      <x:c r="D368" s="42" t="n">
        <x:v>6.2</x:v>
      </x:c>
      <x:c r="E368" t="str">
        <x:v>V122521</x:v>
      </x:c>
      <x:c r="F368" s="36" t="str">
        <x:v>https://www.bankofcanada.ca/wp-content/uploads/2010/09/selected_historical_v122521.pdf</x:v>
      </x:c>
    </x:row>
    <x:row r="369">
      <x:c r="A369" t="str">
        <x:v>2003-08</x:v>
      </x:c>
      <x:c r="B369" t="n">
        <x:v>2003</x:v>
      </x:c>
      <x:c r="C369" t="n">
        <x:v>8</x:v>
      </x:c>
      <x:c r="D369" s="42" t="n">
        <x:v>6.35</x:v>
      </x:c>
      <x:c r="E369" t="str">
        <x:v>V122521</x:v>
      </x:c>
      <x:c r="F369" s="36" t="str">
        <x:v>https://www.bankofcanada.ca/wp-content/uploads/2010/09/selected_historical_v122521.pdf</x:v>
      </x:c>
    </x:row>
    <x:row r="370">
      <x:c r="A370" t="str">
        <x:v>2003-09</x:v>
      </x:c>
      <x:c r="B370" t="n">
        <x:v>2003</x:v>
      </x:c>
      <x:c r="C370" t="n">
        <x:v>9</x:v>
      </x:c>
      <x:c r="D370" s="42" t="n">
        <x:v>6.3</x:v>
      </x:c>
      <x:c r="E370" t="str">
        <x:v>V122521</x:v>
      </x:c>
      <x:c r="F370" s="36" t="str">
        <x:v>https://www.bankofcanada.ca/wp-content/uploads/2010/09/selected_historical_v122521.pdf</x:v>
      </x:c>
    </x:row>
    <x:row r="371">
      <x:c r="A371" t="str">
        <x:v>2003-10</x:v>
      </x:c>
      <x:c r="B371" t="n">
        <x:v>2003</x:v>
      </x:c>
      <x:c r="C371" t="n">
        <x:v>10</x:v>
      </x:c>
      <x:c r="D371" s="42" t="n">
        <x:v>6.4</x:v>
      </x:c>
      <x:c r="E371" t="str">
        <x:v>V122521</x:v>
      </x:c>
      <x:c r="F371" s="36" t="str">
        <x:v>https://www.bankofcanada.ca/wp-content/uploads/2010/09/selected_historical_v122521.pdf</x:v>
      </x:c>
    </x:row>
    <x:row r="372">
      <x:c r="A372" t="str">
        <x:v>2003-11</x:v>
      </x:c>
      <x:c r="B372" t="n">
        <x:v>2003</x:v>
      </x:c>
      <x:c r="C372" t="n">
        <x:v>11</x:v>
      </x:c>
      <x:c r="D372" s="42" t="n">
        <x:v>6.5</x:v>
      </x:c>
      <x:c r="E372" t="str">
        <x:v>V122521</x:v>
      </x:c>
      <x:c r="F372" s="36" t="str">
        <x:v>https://www.bankofcanada.ca/wp-content/uploads/2010/09/selected_historical_v122521.pdf</x:v>
      </x:c>
    </x:row>
    <x:row r="373">
      <x:c r="A373" t="str">
        <x:v>2003-12</x:v>
      </x:c>
      <x:c r="B373" t="n">
        <x:v>2003</x:v>
      </x:c>
      <x:c r="C373" t="n">
        <x:v>12</x:v>
      </x:c>
      <x:c r="D373" s="42" t="n">
        <x:v>6.45</x:v>
      </x:c>
      <x:c r="E373" t="str">
        <x:v>V122521</x:v>
      </x:c>
      <x:c r="F373" s="36" t="str">
        <x:v>https://www.bankofcanada.ca/wp-content/uploads/2010/09/selected_historical_v122521.pdf</x:v>
      </x:c>
    </x:row>
    <x:row r="374">
      <x:c r="A374" t="str">
        <x:v>2004-01</x:v>
      </x:c>
      <x:c r="B374" t="n">
        <x:v>2004</x:v>
      </x:c>
      <x:c r="C374" t="n">
        <x:v>1</x:v>
      </x:c>
      <x:c r="D374" s="42" t="n">
        <x:v>6.05</x:v>
      </x:c>
      <x:c r="E374" t="str">
        <x:v>V122521</x:v>
      </x:c>
      <x:c r="F374" s="36" t="str">
        <x:v>https://www.bankofcanada.ca/wp-content/uploads/2010/09/selected_historical_v122521.pdf</x:v>
      </x:c>
    </x:row>
    <x:row r="375">
      <x:c r="A375" t="str">
        <x:v>2004-02</x:v>
      </x:c>
      <x:c r="B375" t="n">
        <x:v>2004</x:v>
      </x:c>
      <x:c r="C375" t="n">
        <x:v>2</x:v>
      </x:c>
      <x:c r="D375" s="42" t="n">
        <x:v>5.8</x:v>
      </x:c>
      <x:c r="E375" t="str">
        <x:v>V122521</x:v>
      </x:c>
      <x:c r="F375" s="36" t="str">
        <x:v>https://www.bankofcanada.ca/wp-content/uploads/2010/09/selected_historical_v122521.pdf</x:v>
      </x:c>
    </x:row>
    <x:row r="376">
      <x:c r="A376" t="str">
        <x:v>2004-03</x:v>
      </x:c>
      <x:c r="B376" t="n">
        <x:v>2004</x:v>
      </x:c>
      <x:c r="C376" t="n">
        <x:v>3</x:v>
      </x:c>
      <x:c r="D376" s="42" t="n">
        <x:v>5.7</x:v>
      </x:c>
      <x:c r="E376" t="str">
        <x:v>V122521</x:v>
      </x:c>
      <x:c r="F376" s="36" t="str">
        <x:v>https://www.bankofcanada.ca/wp-content/uploads/2010/09/selected_historical_v122521.pdf</x:v>
      </x:c>
    </x:row>
    <x:row r="377">
      <x:c r="A377" t="str">
        <x:v>2004-04</x:v>
      </x:c>
      <x:c r="B377" t="n">
        <x:v>2004</x:v>
      </x:c>
      <x:c r="C377" t="n">
        <x:v>4</x:v>
      </x:c>
      <x:c r="D377" s="42" t="n">
        <x:v>6.15</x:v>
      </x:c>
      <x:c r="E377" t="str">
        <x:v>V122521</x:v>
      </x:c>
      <x:c r="F377" s="36" t="str">
        <x:v>https://www.bankofcanada.ca/wp-content/uploads/2010/09/selected_historical_v122521.pdf</x:v>
      </x:c>
    </x:row>
    <x:row r="378">
      <x:c r="A378" t="str">
        <x:v>2004-05</x:v>
      </x:c>
      <x:c r="B378" t="n">
        <x:v>2004</x:v>
      </x:c>
      <x:c r="C378" t="n">
        <x:v>5</x:v>
      </x:c>
      <x:c r="D378" s="42" t="n">
        <x:v>6.5</x:v>
      </x:c>
      <x:c r="E378" t="str">
        <x:v>V122521</x:v>
      </x:c>
      <x:c r="F378" s="36" t="str">
        <x:v>https://www.bankofcanada.ca/wp-content/uploads/2010/09/selected_historical_v122521.pdf</x:v>
      </x:c>
    </x:row>
    <x:row r="379">
      <x:c r="A379" t="str">
        <x:v>2004-06</x:v>
      </x:c>
      <x:c r="B379" t="n">
        <x:v>2004</x:v>
      </x:c>
      <x:c r="C379" t="n">
        <x:v>6</x:v>
      </x:c>
      <x:c r="D379" s="42" t="n">
        <x:v>6.7</x:v>
      </x:c>
      <x:c r="E379" t="str">
        <x:v>V122521</x:v>
      </x:c>
      <x:c r="F379" s="36" t="str">
        <x:v>https://www.bankofcanada.ca/wp-content/uploads/2010/09/selected_historical_v122521.pdf</x:v>
      </x:c>
    </x:row>
    <x:row r="380">
      <x:c r="A380" t="str">
        <x:v>2004-07</x:v>
      </x:c>
      <x:c r="B380" t="n">
        <x:v>2004</x:v>
      </x:c>
      <x:c r="C380" t="n">
        <x:v>7</x:v>
      </x:c>
      <x:c r="D380" s="42" t="n">
        <x:v>6.55</x:v>
      </x:c>
      <x:c r="E380" t="str">
        <x:v>V122521</x:v>
      </x:c>
      <x:c r="F380" s="36" t="str">
        <x:v>https://www.bankofcanada.ca/wp-content/uploads/2010/09/selected_historical_v122521.pdf</x:v>
      </x:c>
    </x:row>
    <x:row r="381">
      <x:c r="A381" t="str">
        <x:v>2004-08</x:v>
      </x:c>
      <x:c r="B381" t="n">
        <x:v>2004</x:v>
      </x:c>
      <x:c r="C381" t="n">
        <x:v>8</x:v>
      </x:c>
      <x:c r="D381" s="42" t="n">
        <x:v>6.3</x:v>
      </x:c>
      <x:c r="E381" t="str">
        <x:v>V122521</x:v>
      </x:c>
      <x:c r="F381" s="36" t="str">
        <x:v>https://www.bankofcanada.ca/wp-content/uploads/2010/09/selected_historical_v122521.pdf</x:v>
      </x:c>
    </x:row>
    <x:row r="382">
      <x:c r="A382" t="str">
        <x:v>2004-09</x:v>
      </x:c>
      <x:c r="B382" t="n">
        <x:v>2004</x:v>
      </x:c>
      <x:c r="C382" t="n">
        <x:v>9</x:v>
      </x:c>
      <x:c r="D382" s="42" t="n">
        <x:v>6.3</x:v>
      </x:c>
      <x:c r="E382" t="str">
        <x:v>V122521</x:v>
      </x:c>
      <x:c r="F382" s="36" t="str">
        <x:v>https://www.bankofcanada.ca/wp-content/uploads/2010/09/selected_historical_v122521.pdf</x:v>
      </x:c>
    </x:row>
    <x:row r="383">
      <x:c r="A383" t="str">
        <x:v>2004-10</x:v>
      </x:c>
      <x:c r="B383" t="n">
        <x:v>2004</x:v>
      </x:c>
      <x:c r="C383" t="n">
        <x:v>10</x:v>
      </x:c>
      <x:c r="D383" s="42" t="n">
        <x:v>6.4</x:v>
      </x:c>
      <x:c r="E383" t="str">
        <x:v>V122521</x:v>
      </x:c>
      <x:c r="F383" s="36" t="str">
        <x:v>https://www.bankofcanada.ca/wp-content/uploads/2010/09/selected_historical_v122521.pdf</x:v>
      </x:c>
    </x:row>
    <x:row r="384">
      <x:c r="A384" t="str">
        <x:v>2004-11</x:v>
      </x:c>
      <x:c r="B384" t="n">
        <x:v>2004</x:v>
      </x:c>
      <x:c r="C384" t="n">
        <x:v>11</x:v>
      </x:c>
      <x:c r="D384" s="42" t="n">
        <x:v>6.3</x:v>
      </x:c>
      <x:c r="E384" t="str">
        <x:v>V122521</x:v>
      </x:c>
      <x:c r="F384" s="36" t="str">
        <x:v>https://www.bankofcanada.ca/wp-content/uploads/2010/09/selected_historical_v122521.pdf</x:v>
      </x:c>
    </x:row>
    <x:row r="385">
      <x:c r="A385" t="str">
        <x:v>2004-12</x:v>
      </x:c>
      <x:c r="B385" t="n">
        <x:v>2004</x:v>
      </x:c>
      <x:c r="C385" t="n">
        <x:v>12</x:v>
      </x:c>
      <x:c r="D385" s="42" t="n">
        <x:v>6.05</x:v>
      </x:c>
      <x:c r="E385" t="str">
        <x:v>V122521</x:v>
      </x:c>
      <x:c r="F385" s="36" t="str">
        <x:v>https://www.bankofcanada.ca/wp-content/uploads/2010/09/selected_historical_v122521.pdf</x:v>
      </x:c>
    </x:row>
    <x:row r="386">
      <x:c r="A386" t="str">
        <x:v>2005-01</x:v>
      </x:c>
      <x:c r="B386" t="n">
        <x:v>2005</x:v>
      </x:c>
      <x:c r="C386" t="n">
        <x:v>1</x:v>
      </x:c>
      <x:c r="D386" s="42" t="n">
        <x:v>6.05</x:v>
      </x:c>
      <x:c r="E386" t="str">
        <x:v>V122521</x:v>
      </x:c>
      <x:c r="F386" s="36" t="str">
        <x:v>https://www.bankofcanada.ca/wp-content/uploads/2010/09/selected_historical_v122521.pdf</x:v>
      </x:c>
    </x:row>
    <x:row r="387">
      <x:c r="A387" t="str">
        <x:v>2005-02</x:v>
      </x:c>
      <x:c r="B387" t="n">
        <x:v>2005</x:v>
      </x:c>
      <x:c r="C387" t="n">
        <x:v>2</x:v>
      </x:c>
      <x:c r="D387" s="42" t="n">
        <x:v>6.05</x:v>
      </x:c>
      <x:c r="E387" t="str">
        <x:v>V122521</x:v>
      </x:c>
      <x:c r="F387" s="36" t="str">
        <x:v>https://www.bankofcanada.ca/wp-content/uploads/2010/09/selected_historical_v122521.pdf</x:v>
      </x:c>
    </x:row>
    <x:row r="388">
      <x:c r="A388" t="str">
        <x:v>2005-03</x:v>
      </x:c>
      <x:c r="B388" t="n">
        <x:v>2005</x:v>
      </x:c>
      <x:c r="C388" t="n">
        <x:v>3</x:v>
      </x:c>
      <x:c r="D388" s="42" t="n">
        <x:v>6.25</x:v>
      </x:c>
      <x:c r="E388" t="str">
        <x:v>V122521</x:v>
      </x:c>
      <x:c r="F388" s="36" t="str">
        <x:v>https://www.bankofcanada.ca/wp-content/uploads/2010/09/selected_historical_v122521.pdf</x:v>
      </x:c>
    </x:row>
    <x:row r="389">
      <x:c r="A389" t="str">
        <x:v>2005-04</x:v>
      </x:c>
      <x:c r="B389" t="n">
        <x:v>2005</x:v>
      </x:c>
      <x:c r="C389" t="n">
        <x:v>4</x:v>
      </x:c>
      <x:c r="D389" s="42" t="n">
        <x:v>6.05</x:v>
      </x:c>
      <x:c r="E389" t="str">
        <x:v>V122521</x:v>
      </x:c>
      <x:c r="F389" s="36" t="str">
        <x:v>https://www.bankofcanada.ca/wp-content/uploads/2010/09/selected_historical_v122521.pdf</x:v>
      </x:c>
    </x:row>
    <x:row r="390">
      <x:c r="A390" t="str">
        <x:v>2005-05</x:v>
      </x:c>
      <x:c r="B390" t="n">
        <x:v>2005</x:v>
      </x:c>
      <x:c r="C390" t="n">
        <x:v>5</x:v>
      </x:c>
      <x:c r="D390" s="42" t="n">
        <x:v>5.95</x:v>
      </x:c>
      <x:c r="E390" t="str">
        <x:v>V122521</x:v>
      </x:c>
      <x:c r="F390" s="36" t="str">
        <x:v>https://www.bankofcanada.ca/wp-content/uploads/2010/09/selected_historical_v122521.pdf</x:v>
      </x:c>
    </x:row>
    <x:row r="391">
      <x:c r="A391" t="str">
        <x:v>2005-06</x:v>
      </x:c>
      <x:c r="B391" t="n">
        <x:v>2005</x:v>
      </x:c>
      <x:c r="C391" t="n">
        <x:v>6</x:v>
      </x:c>
      <x:c r="D391" s="42" t="n">
        <x:v>5.7</x:v>
      </x:c>
      <x:c r="E391" t="str">
        <x:v>V122521</x:v>
      </x:c>
      <x:c r="F391" s="36" t="str">
        <x:v>https://www.bankofcanada.ca/wp-content/uploads/2010/09/selected_historical_v122521.pdf</x:v>
      </x:c>
    </x:row>
    <x:row r="392">
      <x:c r="A392" t="str">
        <x:v>2005-07</x:v>
      </x:c>
      <x:c r="B392" t="n">
        <x:v>2005</x:v>
      </x:c>
      <x:c r="C392" t="n">
        <x:v>7</x:v>
      </x:c>
      <x:c r="D392" s="42" t="n">
        <x:v>5.8</x:v>
      </x:c>
      <x:c r="E392" t="str">
        <x:v>V122521</x:v>
      </x:c>
      <x:c r="F392" s="36" t="str">
        <x:v>https://www.bankofcanada.ca/wp-content/uploads/2010/09/selected_historical_v122521.pdf</x:v>
      </x:c>
    </x:row>
    <x:row r="393">
      <x:c r="A393" t="str">
        <x:v>2005-08</x:v>
      </x:c>
      <x:c r="B393" t="n">
        <x:v>2005</x:v>
      </x:c>
      <x:c r="C393" t="n">
        <x:v>8</x:v>
      </x:c>
      <x:c r="D393" s="42" t="n">
        <x:v>5.8</x:v>
      </x:c>
      <x:c r="E393" t="str">
        <x:v>V122521</x:v>
      </x:c>
      <x:c r="F393" s="36" t="str">
        <x:v>https://www.bankofcanada.ca/wp-content/uploads/2010/09/selected_historical_v122521.pdf</x:v>
      </x:c>
    </x:row>
    <x:row r="394">
      <x:c r="A394" t="str">
        <x:v>2005-09</x:v>
      </x:c>
      <x:c r="B394" t="n">
        <x:v>2005</x:v>
      </x:c>
      <x:c r="C394" t="n">
        <x:v>9</x:v>
      </x:c>
      <x:c r="D394" s="42" t="n">
        <x:v>5.8</x:v>
      </x:c>
      <x:c r="E394" t="str">
        <x:v>V122521</x:v>
      </x:c>
      <x:c r="F394" s="36" t="str">
        <x:v>https://www.bankofcanada.ca/wp-content/uploads/2010/09/selected_historical_v122521.pdf</x:v>
      </x:c>
    </x:row>
    <x:row r="395">
      <x:c r="A395" t="str">
        <x:v>2005-10</x:v>
      </x:c>
      <x:c r="B395" t="n">
        <x:v>2005</x:v>
      </x:c>
      <x:c r="C395" t="n">
        <x:v>10</x:v>
      </x:c>
      <x:c r="D395" s="42" t="n">
        <x:v>6</x:v>
      </x:c>
      <x:c r="E395" t="str">
        <x:v>V122521</x:v>
      </x:c>
      <x:c r="F395" s="36" t="str">
        <x:v>https://www.bankofcanada.ca/wp-content/uploads/2010/09/selected_historical_v122521.pdf</x:v>
      </x:c>
    </x:row>
    <x:row r="396">
      <x:c r="A396" t="str">
        <x:v>2005-11</x:v>
      </x:c>
      <x:c r="B396" t="n">
        <x:v>2005</x:v>
      </x:c>
      <x:c r="C396" t="n">
        <x:v>11</x:v>
      </x:c>
      <x:c r="D396" s="42" t="n">
        <x:v>6.15</x:v>
      </x:c>
      <x:c r="E396" t="str">
        <x:v>V122521</x:v>
      </x:c>
      <x:c r="F396" s="36" t="str">
        <x:v>https://www.bankofcanada.ca/wp-content/uploads/2010/09/selected_historical_v122521.pdf</x:v>
      </x:c>
    </x:row>
    <x:row r="397">
      <x:c r="A397" t="str">
        <x:v>2005-12</x:v>
      </x:c>
      <x:c r="B397" t="n">
        <x:v>2005</x:v>
      </x:c>
      <x:c r="C397" t="n">
        <x:v>12</x:v>
      </x:c>
      <x:c r="D397" s="42" t="n">
        <x:v>6.3</x:v>
      </x:c>
      <x:c r="E397" t="str">
        <x:v>V122521</x:v>
      </x:c>
      <x:c r="F397" s="36" t="str">
        <x:v>https://www.bankofcanada.ca/wp-content/uploads/2010/09/selected_historical_v122521.pdf</x:v>
      </x:c>
    </x:row>
    <x:row r="398">
      <x:c r="A398" t="str">
        <x:v>2006-01</x:v>
      </x:c>
      <x:c r="B398" t="n">
        <x:v>2006</x:v>
      </x:c>
      <x:c r="C398" t="n">
        <x:v>1</x:v>
      </x:c>
      <x:c r="D398" s="42" t="n">
        <x:v>6.3</x:v>
      </x:c>
      <x:c r="E398" t="str">
        <x:v>V122521</x:v>
      </x:c>
      <x:c r="F398" s="36" t="str">
        <x:v>https://www.bankofcanada.ca/wp-content/uploads/2010/09/selected_historical_v122521.pdf</x:v>
      </x:c>
    </x:row>
    <x:row r="399">
      <x:c r="A399" t="str">
        <x:v>2006-02</x:v>
      </x:c>
      <x:c r="B399" t="n">
        <x:v>2006</x:v>
      </x:c>
      <x:c r="C399" t="n">
        <x:v>2</x:v>
      </x:c>
      <x:c r="D399" s="42" t="n">
        <x:v>6.45</x:v>
      </x:c>
      <x:c r="E399" t="str">
        <x:v>V122521</x:v>
      </x:c>
      <x:c r="F399" s="36" t="str">
        <x:v>https://www.bankofcanada.ca/wp-content/uploads/2010/09/selected_historical_v122521.pdf</x:v>
      </x:c>
    </x:row>
    <x:row r="400">
      <x:c r="A400" t="str">
        <x:v>2006-03</x:v>
      </x:c>
      <x:c r="B400" t="n">
        <x:v>2006</x:v>
      </x:c>
      <x:c r="C400" t="n">
        <x:v>3</x:v>
      </x:c>
      <x:c r="D400" s="42" t="n">
        <x:v>6.45</x:v>
      </x:c>
      <x:c r="E400" t="str">
        <x:v>V122521</x:v>
      </x:c>
      <x:c r="F400" s="36" t="str">
        <x:v>https://www.bankofcanada.ca/wp-content/uploads/2010/09/selected_historical_v122521.pdf</x:v>
      </x:c>
    </x:row>
    <x:row r="401">
      <x:c r="A401" t="str">
        <x:v>2006-04</x:v>
      </x:c>
      <x:c r="B401" t="n">
        <x:v>2006</x:v>
      </x:c>
      <x:c r="C401" t="n">
        <x:v>4</x:v>
      </x:c>
      <x:c r="D401" s="42" t="n">
        <x:v>6.75</x:v>
      </x:c>
      <x:c r="E401" t="str">
        <x:v>V122521</x:v>
      </x:c>
      <x:c r="F401" s="36" t="str">
        <x:v>https://www.bankofcanada.ca/wp-content/uploads/2010/09/selected_historical_v122521.pdf</x:v>
      </x:c>
    </x:row>
    <x:row r="402">
      <x:c r="A402" t="str">
        <x:v>2006-05</x:v>
      </x:c>
      <x:c r="B402" t="n">
        <x:v>2006</x:v>
      </x:c>
      <x:c r="C402" t="n">
        <x:v>5</x:v>
      </x:c>
      <x:c r="D402" s="42" t="n">
        <x:v>6.75</x:v>
      </x:c>
      <x:c r="E402" t="str">
        <x:v>V122521</x:v>
      </x:c>
      <x:c r="F402" s="36" t="str">
        <x:v>https://www.bankofcanada.ca/wp-content/uploads/2010/09/selected_historical_v122521.pdf</x:v>
      </x:c>
    </x:row>
    <x:row r="403">
      <x:c r="A403" t="str">
        <x:v>2006-06</x:v>
      </x:c>
      <x:c r="B403" t="n">
        <x:v>2006</x:v>
      </x:c>
      <x:c r="C403" t="n">
        <x:v>6</x:v>
      </x:c>
      <x:c r="D403" s="42" t="n">
        <x:v>6.95</x:v>
      </x:c>
      <x:c r="E403" t="str">
        <x:v>V122521</x:v>
      </x:c>
      <x:c r="F403" s="36" t="str">
        <x:v>https://www.bankofcanada.ca/wp-content/uploads/2010/09/selected_historical_v122521.pdf</x:v>
      </x:c>
    </x:row>
    <x:row r="404">
      <x:c r="A404" t="str">
        <x:v>2006-07</x:v>
      </x:c>
      <x:c r="B404" t="n">
        <x:v>2006</x:v>
      </x:c>
      <x:c r="C404" t="n">
        <x:v>7</x:v>
      </x:c>
      <x:c r="D404" s="42" t="n">
        <x:v>6.95</x:v>
      </x:c>
      <x:c r="E404" t="str">
        <x:v>V122521</x:v>
      </x:c>
      <x:c r="F404" s="36" t="str">
        <x:v>https://www.bankofcanada.ca/wp-content/uploads/2010/09/selected_historical_v122521.pdf</x:v>
      </x:c>
    </x:row>
    <x:row r="405">
      <x:c r="A405" t="str">
        <x:v>2006-08</x:v>
      </x:c>
      <x:c r="B405" t="n">
        <x:v>2006</x:v>
      </x:c>
      <x:c r="C405" t="n">
        <x:v>8</x:v>
      </x:c>
      <x:c r="D405" s="42" t="n">
        <x:v>6.85</x:v>
      </x:c>
      <x:c r="E405" t="str">
        <x:v>V122521</x:v>
      </x:c>
      <x:c r="F405" s="36" t="str">
        <x:v>https://www.bankofcanada.ca/wp-content/uploads/2010/09/selected_historical_v122521.pdf</x:v>
      </x:c>
    </x:row>
    <x:row r="406">
      <x:c r="A406" t="str">
        <x:v>2006-09</x:v>
      </x:c>
      <x:c r="B406" t="n">
        <x:v>2006</x:v>
      </x:c>
      <x:c r="C406" t="n">
        <x:v>9</x:v>
      </x:c>
      <x:c r="D406" s="42" t="n">
        <x:v>6.7</x:v>
      </x:c>
      <x:c r="E406" t="str">
        <x:v>V122521</x:v>
      </x:c>
      <x:c r="F406" s="36" t="str">
        <x:v>https://www.bankofcanada.ca/wp-content/uploads/2010/09/selected_historical_v122521.pdf</x:v>
      </x:c>
    </x:row>
    <x:row r="407">
      <x:c r="A407" t="str">
        <x:v>2006-10</x:v>
      </x:c>
      <x:c r="B407" t="n">
        <x:v>2006</x:v>
      </x:c>
      <x:c r="C407" t="n">
        <x:v>10</x:v>
      </x:c>
      <x:c r="D407" s="42" t="n">
        <x:v>6.8</x:v>
      </x:c>
      <x:c r="E407" t="str">
        <x:v>V122521</x:v>
      </x:c>
      <x:c r="F407" s="36" t="str">
        <x:v>https://www.bankofcanada.ca/wp-content/uploads/2010/09/selected_historical_v122521.pdf</x:v>
      </x:c>
    </x:row>
    <x:row r="408">
      <x:c r="A408" t="str">
        <x:v>2006-11</x:v>
      </x:c>
      <x:c r="B408" t="n">
        <x:v>2006</x:v>
      </x:c>
      <x:c r="C408" t="n">
        <x:v>11</x:v>
      </x:c>
      <x:c r="D408" s="42" t="n">
        <x:v>6.55</x:v>
      </x:c>
      <x:c r="E408" t="str">
        <x:v>V122521</x:v>
      </x:c>
      <x:c r="F408" s="36" t="str">
        <x:v>https://www.bankofcanada.ca/wp-content/uploads/2010/09/selected_historical_v122521.pdf</x:v>
      </x:c>
    </x:row>
    <x:row r="409">
      <x:c r="A409" t="str">
        <x:v>2006-12</x:v>
      </x:c>
      <x:c r="B409" t="n">
        <x:v>2006</x:v>
      </x:c>
      <x:c r="C409" t="n">
        <x:v>12</x:v>
      </x:c>
      <x:c r="D409" s="42" t="n">
        <x:v>6.45</x:v>
      </x:c>
      <x:c r="E409" t="str">
        <x:v>V122521</x:v>
      </x:c>
      <x:c r="F409" s="36" t="str">
        <x:v>https://www.bankofcanada.ca/wp-content/uploads/2010/09/selected_historical_v122521.pdf</x:v>
      </x:c>
    </x:row>
    <x:row r="410">
      <x:c r="A410" t="str">
        <x:v>2007-01</x:v>
      </x:c>
      <x:c r="B410" t="n">
        <x:v>2007</x:v>
      </x:c>
      <x:c r="C410" t="n">
        <x:v>1</x:v>
      </x:c>
      <x:c r="D410" s="42" t="n">
        <x:v>6.65</x:v>
      </x:c>
      <x:c r="E410" t="str">
        <x:v>V122521</x:v>
      </x:c>
      <x:c r="F410" s="36" t="str">
        <x:v>https://www.bankofcanada.ca/wp-content/uploads/2010/09/selected_historical_v122521.pdf</x:v>
      </x:c>
    </x:row>
    <x:row r="411">
      <x:c r="A411" t="str">
        <x:v>2007-02</x:v>
      </x:c>
      <x:c r="B411" t="n">
        <x:v>2007</x:v>
      </x:c>
      <x:c r="C411" t="n">
        <x:v>2</x:v>
      </x:c>
      <x:c r="D411" s="42" t="n">
        <x:v>6.65</x:v>
      </x:c>
      <x:c r="E411" t="str">
        <x:v>V122521</x:v>
      </x:c>
      <x:c r="F411" s="36" t="str">
        <x:v>https://www.bankofcanada.ca/wp-content/uploads/2010/09/selected_historical_v122521.pdf</x:v>
      </x:c>
    </x:row>
    <x:row r="412">
      <x:c r="A412" t="str">
        <x:v>2007-03</x:v>
      </x:c>
      <x:c r="B412" t="n">
        <x:v>2007</x:v>
      </x:c>
      <x:c r="C412" t="n">
        <x:v>3</x:v>
      </x:c>
      <x:c r="D412" s="42" t="n">
        <x:v>6.49</x:v>
      </x:c>
      <x:c r="E412" t="str">
        <x:v>V122521</x:v>
      </x:c>
      <x:c r="F412" s="36" t="str">
        <x:v>https://www.bankofcanada.ca/wp-content/uploads/2010/09/selected_historical_v122521.pdf</x:v>
      </x:c>
    </x:row>
    <x:row r="413">
      <x:c r="A413" t="str">
        <x:v>2007-04</x:v>
      </x:c>
      <x:c r="B413" t="n">
        <x:v>2007</x:v>
      </x:c>
      <x:c r="C413" t="n">
        <x:v>4</x:v>
      </x:c>
      <x:c r="D413" s="42" t="n">
        <x:v>6.64</x:v>
      </x:c>
      <x:c r="E413" t="str">
        <x:v>V122521</x:v>
      </x:c>
      <x:c r="F413" s="36" t="str">
        <x:v>https://www.bankofcanada.ca/wp-content/uploads/2010/09/selected_historical_v122521.pdf</x:v>
      </x:c>
    </x:row>
    <x:row r="414">
      <x:c r="A414" t="str">
        <x:v>2007-05</x:v>
      </x:c>
      <x:c r="B414" t="n">
        <x:v>2007</x:v>
      </x:c>
      <x:c r="C414" t="n">
        <x:v>5</x:v>
      </x:c>
      <x:c r="D414" s="42" t="n">
        <x:v>7.14</x:v>
      </x:c>
      <x:c r="E414" t="str">
        <x:v>V122521</x:v>
      </x:c>
      <x:c r="F414" s="36" t="str">
        <x:v>https://www.bankofcanada.ca/wp-content/uploads/2010/09/selected_historical_v122521.pdf</x:v>
      </x:c>
    </x:row>
    <x:row r="415">
      <x:c r="A415" t="str">
        <x:v>2007-06</x:v>
      </x:c>
      <x:c r="B415" t="n">
        <x:v>2007</x:v>
      </x:c>
      <x:c r="C415" t="n">
        <x:v>6</x:v>
      </x:c>
      <x:c r="D415" s="42" t="n">
        <x:v>7.24</x:v>
      </x:c>
      <x:c r="E415" t="str">
        <x:v>V122521</x:v>
      </x:c>
      <x:c r="F415" s="36" t="str">
        <x:v>https://www.bankofcanada.ca/wp-content/uploads/2010/09/selected_historical_v122521.pdf</x:v>
      </x:c>
    </x:row>
    <x:row r="416">
      <x:c r="A416" t="str">
        <x:v>2007-07</x:v>
      </x:c>
      <x:c r="B416" t="n">
        <x:v>2007</x:v>
      </x:c>
      <x:c r="C416" t="n">
        <x:v>7</x:v>
      </x:c>
      <x:c r="D416" s="42" t="n">
        <x:v>7.24</x:v>
      </x:c>
      <x:c r="E416" t="str">
        <x:v>V122521</x:v>
      </x:c>
      <x:c r="F416" s="36" t="str">
        <x:v>https://www.bankofcanada.ca/wp-content/uploads/2010/09/selected_historical_v122521.pdf</x:v>
      </x:c>
    </x:row>
    <x:row r="417">
      <x:c r="A417" t="str">
        <x:v>2007-08</x:v>
      </x:c>
      <x:c r="B417" t="n">
        <x:v>2007</x:v>
      </x:c>
      <x:c r="C417" t="n">
        <x:v>8</x:v>
      </x:c>
      <x:c r="D417" s="42" t="n">
        <x:v>7.24</x:v>
      </x:c>
      <x:c r="E417" t="str">
        <x:v>V122521</x:v>
      </x:c>
      <x:c r="F417" s="36" t="str">
        <x:v>https://www.bankofcanada.ca/wp-content/uploads/2010/09/selected_historical_v122521.pdf</x:v>
      </x:c>
    </x:row>
    <x:row r="418">
      <x:c r="A418" t="str">
        <x:v>2007-09</x:v>
      </x:c>
      <x:c r="B418" t="n">
        <x:v>2007</x:v>
      </x:c>
      <x:c r="C418" t="n">
        <x:v>9</x:v>
      </x:c>
      <x:c r="D418" s="42" t="n">
        <x:v>7.19</x:v>
      </x:c>
      <x:c r="E418" t="str">
        <x:v>V122521</x:v>
      </x:c>
      <x:c r="F418" s="36" t="str">
        <x:v>https://www.bankofcanada.ca/wp-content/uploads/2010/09/selected_historical_v122521.pdf</x:v>
      </x:c>
    </x:row>
    <x:row r="419">
      <x:c r="A419" t="str">
        <x:v>2007-10</x:v>
      </x:c>
      <x:c r="B419" t="n">
        <x:v>2007</x:v>
      </x:c>
      <x:c r="C419" t="n">
        <x:v>10</x:v>
      </x:c>
      <x:c r="D419" s="42" t="n">
        <x:v>7.44</x:v>
      </x:c>
      <x:c r="E419" t="str">
        <x:v>V122521</x:v>
      </x:c>
      <x:c r="F419" s="36" t="str">
        <x:v>https://www.bankofcanada.ca/wp-content/uploads/2010/09/selected_historical_v122521.pdf</x:v>
      </x:c>
    </x:row>
    <x:row r="420">
      <x:c r="A420" t="str">
        <x:v>2007-11</x:v>
      </x:c>
      <x:c r="B420" t="n">
        <x:v>2007</x:v>
      </x:c>
      <x:c r="C420" t="n">
        <x:v>11</x:v>
      </x:c>
      <x:c r="D420" s="42" t="n">
        <x:v>7.39</x:v>
      </x:c>
      <x:c r="E420" t="str">
        <x:v>V122521</x:v>
      </x:c>
      <x:c r="F420" s="36" t="str">
        <x:v>https://www.bankofcanada.ca/wp-content/uploads/2010/09/selected_historical_v122521.pdf</x:v>
      </x:c>
    </x:row>
    <x:row r="421">
      <x:c r="A421" t="str">
        <x:v>2007-12</x:v>
      </x:c>
      <x:c r="B421" t="n">
        <x:v>2007</x:v>
      </x:c>
      <x:c r="C421" t="n">
        <x:v>12</x:v>
      </x:c>
      <x:c r="D421" s="42" t="n">
        <x:v>7.54</x:v>
      </x:c>
      <x:c r="E421" t="str">
        <x:v>V122521</x:v>
      </x:c>
      <x:c r="F421" s="36" t="str">
        <x:v>https://www.bankofcanada.ca/wp-content/uploads/2010/09/selected_historical_v122521.pdf</x:v>
      </x:c>
    </x:row>
    <x:row r="422">
      <x:c r="A422" t="str">
        <x:v>2008-01</x:v>
      </x:c>
      <x:c r="B422" t="n">
        <x:v>2008</x:v>
      </x:c>
      <x:c r="C422" t="n">
        <x:v>1</x:v>
      </x:c>
      <x:c r="D422" s="42" t="n">
        <x:v>7.39</x:v>
      </x:c>
      <x:c r="E422" t="str">
        <x:v>V122521</x:v>
      </x:c>
      <x:c r="F422" s="36" t="str">
        <x:v>https://www.bankofcanada.ca/wp-content/uploads/2010/09/selected_historical_v122521.pdf</x:v>
      </x:c>
    </x:row>
    <x:row r="423">
      <x:c r="A423" t="str">
        <x:v>2008-02</x:v>
      </x:c>
      <x:c r="B423" t="n">
        <x:v>2008</x:v>
      </x:c>
      <x:c r="C423" t="n">
        <x:v>2</x:v>
      </x:c>
      <x:c r="D423" s="42" t="n">
        <x:v>7.29</x:v>
      </x:c>
      <x:c r="E423" t="str">
        <x:v>V122521</x:v>
      </x:c>
      <x:c r="F423" s="36" t="str">
        <x:v>https://www.bankofcanada.ca/wp-content/uploads/2010/09/selected_historical_v122521.pdf</x:v>
      </x:c>
    </x:row>
    <x:row r="424">
      <x:c r="A424" t="str">
        <x:v>2008-03</x:v>
      </x:c>
      <x:c r="B424" t="n">
        <x:v>2008</x:v>
      </x:c>
      <x:c r="C424" t="n">
        <x:v>3</x:v>
      </x:c>
      <x:c r="D424" s="42" t="n">
        <x:v>7.19</x:v>
      </x:c>
      <x:c r="E424" t="str">
        <x:v>V122521</x:v>
      </x:c>
      <x:c r="F424" s="36" t="str">
        <x:v>https://www.bankofcanada.ca/wp-content/uploads/2010/09/selected_historical_v122521.pdf</x:v>
      </x:c>
    </x:row>
    <x:row r="425">
      <x:c r="A425" t="str">
        <x:v>2008-04</x:v>
      </x:c>
      <x:c r="B425" t="n">
        <x:v>2008</x:v>
      </x:c>
      <x:c r="C425" t="n">
        <x:v>4</x:v>
      </x:c>
      <x:c r="D425" s="42" t="n">
        <x:v>6.99</x:v>
      </x:c>
      <x:c r="E425" t="str">
        <x:v>V122521</x:v>
      </x:c>
      <x:c r="F425" s="36" t="str">
        <x:v>https://www.bankofcanada.ca/wp-content/uploads/2010/09/selected_historical_v122521.pdf</x:v>
      </x:c>
    </x:row>
    <x:row r="426">
      <x:c r="A426" t="str">
        <x:v>2008-05</x:v>
      </x:c>
      <x:c r="B426" t="n">
        <x:v>2008</x:v>
      </x:c>
      <x:c r="C426" t="n">
        <x:v>5</x:v>
      </x:c>
      <x:c r="D426" s="42" t="n">
        <x:v>6.65</x:v>
      </x:c>
      <x:c r="E426" t="str">
        <x:v>V122521</x:v>
      </x:c>
      <x:c r="F426" s="36" t="str">
        <x:v>https://www.bankofcanada.ca/wp-content/uploads/2010/09/selected_historical_v122521.pdf</x:v>
      </x:c>
    </x:row>
    <x:row r="427">
      <x:c r="A427" t="str">
        <x:v>2008-06</x:v>
      </x:c>
      <x:c r="B427" t="n">
        <x:v>2008</x:v>
      </x:c>
      <x:c r="C427" t="n">
        <x:v>6</x:v>
      </x:c>
      <x:c r="D427" s="42" t="n">
        <x:v>7.15</x:v>
      </x:c>
      <x:c r="E427" t="str">
        <x:v>V122521</x:v>
      </x:c>
      <x:c r="F427" s="36" t="str">
        <x:v>https://www.bankofcanada.ca/wp-content/uploads/2010/09/selected_historical_v122521.pdf</x:v>
      </x:c>
    </x:row>
    <x:row r="428">
      <x:c r="A428" t="str">
        <x:v>2008-07</x:v>
      </x:c>
      <x:c r="B428" t="n">
        <x:v>2008</x:v>
      </x:c>
      <x:c r="C428" t="n">
        <x:v>7</x:v>
      </x:c>
      <x:c r="D428" s="42" t="n">
        <x:v>7.15</x:v>
      </x:c>
      <x:c r="E428" t="str">
        <x:v>V122521</x:v>
      </x:c>
      <x:c r="F428" s="36" t="str">
        <x:v>https://www.bankofcanada.ca/wp-content/uploads/2010/09/selected_historical_v122521.pdf</x:v>
      </x:c>
    </x:row>
    <x:row r="429">
      <x:c r="A429" t="str">
        <x:v>2008-08</x:v>
      </x:c>
      <x:c r="B429" t="n">
        <x:v>2008</x:v>
      </x:c>
      <x:c r="C429" t="n">
        <x:v>8</x:v>
      </x:c>
      <x:c r="D429" s="42" t="n">
        <x:v>6.85</x:v>
      </x:c>
      <x:c r="E429" t="str">
        <x:v>V122521</x:v>
      </x:c>
      <x:c r="F429" s="36" t="str">
        <x:v>https://www.bankofcanada.ca/wp-content/uploads/2010/09/selected_historical_v122521.pdf</x:v>
      </x:c>
    </x:row>
    <x:row r="430">
      <x:c r="A430" t="str">
        <x:v>2008-09</x:v>
      </x:c>
      <x:c r="B430" t="n">
        <x:v>2008</x:v>
      </x:c>
      <x:c r="C430" t="n">
        <x:v>9</x:v>
      </x:c>
      <x:c r="D430" s="42" t="n">
        <x:v>6.85</x:v>
      </x:c>
      <x:c r="E430" t="str">
        <x:v>V122521</x:v>
      </x:c>
      <x:c r="F430" s="36" t="str">
        <x:v>https://www.bankofcanada.ca/wp-content/uploads/2010/09/selected_historical_v122521.pdf</x:v>
      </x:c>
    </x:row>
    <x:row r="431">
      <x:c r="A431" t="str">
        <x:v>2008-10</x:v>
      </x:c>
      <x:c r="B431" t="n">
        <x:v>2008</x:v>
      </x:c>
      <x:c r="C431" t="n">
        <x:v>10</x:v>
      </x:c>
      <x:c r="D431" s="42" t="n">
        <x:v>7.2</x:v>
      </x:c>
      <x:c r="E431" t="str">
        <x:v>V122521</x:v>
      </x:c>
      <x:c r="F431" s="36" t="str">
        <x:v>https://www.bankofcanada.ca/wp-content/uploads/2010/09/selected_historical_v122521.pdf</x:v>
      </x:c>
    </x:row>
    <x:row r="432">
      <x:c r="A432" t="str">
        <x:v>2008-11</x:v>
      </x:c>
      <x:c r="B432" t="n">
        <x:v>2008</x:v>
      </x:c>
      <x:c r="C432" t="n">
        <x:v>11</x:v>
      </x:c>
      <x:c r="D432" s="42" t="n">
        <x:v>7.2</x:v>
      </x:c>
      <x:c r="E432" t="str">
        <x:v>V122521</x:v>
      </x:c>
      <x:c r="F432" s="36" t="str">
        <x:v>https://www.bankofcanada.ca/wp-content/uploads/2010/09/selected_historical_v122521.pdf</x:v>
      </x:c>
    </x:row>
    <x:row r="433">
      <x:c r="A433" t="str">
        <x:v>2008-12</x:v>
      </x:c>
      <x:c r="B433" t="n">
        <x:v>2008</x:v>
      </x:c>
      <x:c r="C433" t="n">
        <x:v>12</x:v>
      </x:c>
      <x:c r="D433" s="42" t="n">
        <x:v>6.75</x:v>
      </x:c>
      <x:c r="E433" t="str">
        <x:v>V122521</x:v>
      </x:c>
      <x:c r="F433" s="36" t="str">
        <x:v>https://www.bankofcanada.ca/wp-content/uploads/2010/09/selected_historical_v122521.pdf</x:v>
      </x:c>
    </x:row>
    <x:row r="434">
      <x:c r="A434" t="str">
        <x:v>2009-01</x:v>
      </x:c>
      <x:c r="B434" t="n">
        <x:v>2009</x:v>
      </x:c>
      <x:c r="C434" t="n">
        <x:v>1</x:v>
      </x:c>
      <x:c r="D434" s="42" t="n">
        <x:v>5.79</x:v>
      </x:c>
      <x:c r="E434" t="str">
        <x:v>V122521</x:v>
      </x:c>
      <x:c r="F434" s="36" t="str">
        <x:v>https://www.bankofcanada.ca/wp-content/uploads/2010/09/selected_historical_v122521.pdf</x:v>
      </x:c>
    </x:row>
    <x:row r="435">
      <x:c r="A435" t="str">
        <x:v>2009-02</x:v>
      </x:c>
      <x:c r="B435" t="n">
        <x:v>2009</x:v>
      </x:c>
      <x:c r="C435" t="n">
        <x:v>2</x:v>
      </x:c>
      <x:c r="D435" s="42" t="n">
        <x:v>5.79</x:v>
      </x:c>
      <x:c r="E435" t="str">
        <x:v>V122521</x:v>
      </x:c>
      <x:c r="F435" s="36" t="str">
        <x:v>https://www.bankofcanada.ca/wp-content/uploads/2010/09/selected_historical_v122521.pdf</x:v>
      </x:c>
    </x:row>
    <x:row r="436">
      <x:c r="A436" t="str">
        <x:v>2009-03</x:v>
      </x:c>
      <x:c r="B436" t="n">
        <x:v>2009</x:v>
      </x:c>
      <x:c r="C436" t="n">
        <x:v>3</x:v>
      </x:c>
      <x:c r="D436" s="42" t="n">
        <x:v>5.55</x:v>
      </x:c>
      <x:c r="E436" t="str">
        <x:v>V122521</x:v>
      </x:c>
      <x:c r="F436" s="36" t="str">
        <x:v>https://www.bankofcanada.ca/wp-content/uploads/2010/09/selected_historical_v122521.pdf</x:v>
      </x:c>
    </x:row>
    <x:row r="437">
      <x:c r="A437" t="str">
        <x:v>2009-04</x:v>
      </x:c>
      <x:c r="B437" t="n">
        <x:v>2009</x:v>
      </x:c>
      <x:c r="C437" t="n">
        <x:v>4</x:v>
      </x:c>
      <x:c r="D437" s="42" t="n">
        <x:v>5.25</x:v>
      </x:c>
      <x:c r="E437" t="str">
        <x:v>V122521</x:v>
      </x:c>
      <x:c r="F437" s="36" t="str">
        <x:v>https://www.bankofcanada.ca/wp-content/uploads/2010/09/selected_historical_v122521.pdf</x:v>
      </x:c>
    </x:row>
    <x:row r="438">
      <x:c r="A438" t="str">
        <x:v>2009-05</x:v>
      </x:c>
      <x:c r="B438" t="n">
        <x:v>2009</x:v>
      </x:c>
      <x:c r="C438" t="n">
        <x:v>5</x:v>
      </x:c>
      <x:c r="D438" s="42" t="n">
        <x:v>5.25</x:v>
      </x:c>
      <x:c r="E438" t="str">
        <x:v>V122521</x:v>
      </x:c>
      <x:c r="F438" s="36" t="str">
        <x:v>https://www.bankofcanada.ca/wp-content/uploads/2010/09/selected_historical_v122521.pdf</x:v>
      </x:c>
    </x:row>
    <x:row r="439">
      <x:c r="A439" t="str">
        <x:v>2009-06</x:v>
      </x:c>
      <x:c r="B439" t="n">
        <x:v>2009</x:v>
      </x:c>
      <x:c r="C439" t="n">
        <x:v>6</x:v>
      </x:c>
      <x:c r="D439" s="42" t="n">
        <x:v>5.85</x:v>
      </x:c>
      <x:c r="E439" t="str">
        <x:v>V122521</x:v>
      </x:c>
      <x:c r="F439" s="36" t="str">
        <x:v>https://www.bankofcanada.ca/wp-content/uploads/2010/09/selected_historical_v122521.pdf</x:v>
      </x:c>
    </x:row>
    <x:row r="440">
      <x:c r="A440" t="str">
        <x:v>2009-07</x:v>
      </x:c>
      <x:c r="B440" t="n">
        <x:v>2009</x:v>
      </x:c>
      <x:c r="C440" t="n">
        <x:v>7</x:v>
      </x:c>
      <x:c r="D440" s="42" t="n">
        <x:v>5.85</x:v>
      </x:c>
      <x:c r="E440" t="str">
        <x:v>V122521</x:v>
      </x:c>
      <x:c r="F440" s="36" t="str">
        <x:v>https://www.bankofcanada.ca/wp-content/uploads/2010/09/selected_historical_v122521.pdf</x:v>
      </x:c>
    </x:row>
    <x:row r="441">
      <x:c r="A441" t="str">
        <x:v>2009-08</x:v>
      </x:c>
      <x:c r="B441" t="n">
        <x:v>2009</x:v>
      </x:c>
      <x:c r="C441" t="n">
        <x:v>8</x:v>
      </x:c>
      <x:c r="D441" s="42" t="n">
        <x:v>5.85</x:v>
      </x:c>
      <x:c r="E441" t="str">
        <x:v>V122521</x:v>
      </x:c>
      <x:c r="F441" s="36" t="str">
        <x:v>https://www.bankofcanada.ca/wp-content/uploads/2010/09/selected_historical_v122521.pdf</x:v>
      </x:c>
    </x:row>
    <x:row r="442">
      <x:c r="A442" t="str">
        <x:v>2009-09</x:v>
      </x:c>
      <x:c r="B442" t="n">
        <x:v>2009</x:v>
      </x:c>
      <x:c r="C442" t="n">
        <x:v>9</x:v>
      </x:c>
      <x:c r="D442" s="42" t="n">
        <x:v>5.49</x:v>
      </x:c>
      <x:c r="E442" t="str">
        <x:v>V122521</x:v>
      </x:c>
      <x:c r="F442" s="36" t="str">
        <x:v>https://www.bankofcanada.ca/wp-content/uploads/2010/09/selected_historical_v122521.pdf</x:v>
      </x:c>
    </x:row>
    <x:row r="443">
      <x:c r="A443" t="str">
        <x:v>2009-10</x:v>
      </x:c>
      <x:c r="B443" t="n">
        <x:v>2009</x:v>
      </x:c>
      <x:c r="C443" t="n">
        <x:v>10</x:v>
      </x:c>
      <x:c r="D443" s="42" t="n">
        <x:v>5.84</x:v>
      </x:c>
      <x:c r="E443" t="str">
        <x:v>V122521</x:v>
      </x:c>
      <x:c r="F443" s="36" t="str">
        <x:v>https://www.bankofcanada.ca/wp-content/uploads/2010/09/selected_historical_v122521.pdf</x:v>
      </x:c>
    </x:row>
    <x:row r="444">
      <x:c r="A444" t="str">
        <x:v>2009-11</x:v>
      </x:c>
      <x:c r="B444" t="n">
        <x:v>2009</x:v>
      </x:c>
      <x:c r="C444" t="n">
        <x:v>11</x:v>
      </x:c>
      <x:c r="D444" s="42" t="n">
        <x:v>5.59</x:v>
      </x:c>
      <x:c r="E444" t="str">
        <x:v>V122521</x:v>
      </x:c>
      <x:c r="F444" s="36" t="str">
        <x:v>https://www.bankofcanada.ca/wp-content/uploads/2010/09/selected_historical_v122521.pdf</x:v>
      </x:c>
    </x:row>
    <x:row r="445">
      <x:c r="A445" t="str">
        <x:v>2009-12</x:v>
      </x:c>
      <x:c r="B445" t="n">
        <x:v>2009</x:v>
      </x:c>
      <x:c r="C445" t="n">
        <x:v>12</x:v>
      </x:c>
      <x:c r="D445" s="42" t="n">
        <x:v>5.49</x:v>
      </x:c>
      <x:c r="E445" t="str">
        <x:v>V122521</x:v>
      </x:c>
      <x:c r="F445" s="36" t="str">
        <x:v>https://www.bankofcanada.ca/wp-content/uploads/2010/09/selected_historical_v122521.pdf</x:v>
      </x:c>
    </x:row>
    <x:row r="446">
      <x:c r="A446" t="str">
        <x:v>2010-01</x:v>
      </x:c>
      <x:c r="B446" t="n">
        <x:v>2010</x:v>
      </x:c>
      <x:c r="C446" t="n">
        <x:v>1</x:v>
      </x:c>
      <x:c r="D446" s="42" t="n">
        <x:v>5.49</x:v>
      </x:c>
      <x:c r="E446" t="str">
        <x:v>V122521</x:v>
      </x:c>
      <x:c r="F446" s="36" t="str">
        <x:v>https://www.bankofcanada.ca/wp-content/uploads/2010/09/selected_historical_v122521.pdf</x:v>
      </x:c>
    </x:row>
    <x:row r="447">
      <x:c r="A447" t="str">
        <x:v>2010-02</x:v>
      </x:c>
      <x:c r="B447" t="n">
        <x:v>2010</x:v>
      </x:c>
      <x:c r="C447" t="n">
        <x:v>2</x:v>
      </x:c>
      <x:c r="D447" s="42" t="n">
        <x:v>5.39</x:v>
      </x:c>
      <x:c r="E447" t="str">
        <x:v>V122521</x:v>
      </x:c>
      <x:c r="F447" s="36" t="str">
        <x:v>https://www.bankofcanada.ca/wp-content/uploads/2010/09/selected_historical_v122521.pdf</x:v>
      </x:c>
    </x:row>
    <x:row r="448">
      <x:c r="A448" t="str">
        <x:v>2010-03</x:v>
      </x:c>
      <x:c r="B448" t="n">
        <x:v>2010</x:v>
      </x:c>
      <x:c r="C448" t="n">
        <x:v>3</x:v>
      </x:c>
      <x:c r="D448" s="42" t="n">
        <x:v>5.85</x:v>
      </x:c>
      <x:c r="E448" t="str">
        <x:v>V122521</x:v>
      </x:c>
      <x:c r="F448" s="36" t="str">
        <x:v>https://www.bankofcanada.ca/wp-content/uploads/2010/09/selected_historical_v122521.pdf</x:v>
      </x:c>
    </x:row>
    <x:row r="449">
      <x:c r="A449" t="str">
        <x:v>2010-04</x:v>
      </x:c>
      <x:c r="B449" t="n">
        <x:v>2010</x:v>
      </x:c>
      <x:c r="C449" t="n">
        <x:v>4</x:v>
      </x:c>
      <x:c r="D449" s="42" t="n">
        <x:v>6.25</x:v>
      </x:c>
      <x:c r="E449" t="str">
        <x:v>V122521</x:v>
      </x:c>
      <x:c r="F449" s="36" t="str">
        <x:v>https://www.bankofcanada.ca/wp-content/uploads/2010/09/selected_historical_v122521.pdf</x:v>
      </x:c>
    </x:row>
    <x:row r="450">
      <x:c r="A450" t="str">
        <x:v>2010-05</x:v>
      </x:c>
      <x:c r="B450" t="n">
        <x:v>2010</x:v>
      </x:c>
      <x:c r="C450" t="n">
        <x:v>5</x:v>
      </x:c>
      <x:c r="D450" s="42" t="n">
        <x:v>5.99</x:v>
      </x:c>
      <x:c r="E450" t="str">
        <x:v>V122521</x:v>
      </x:c>
      <x:c r="F450" s="36" t="str">
        <x:v>https://www.bankofcanada.ca/wp-content/uploads/2010/09/selected_historical_v122521.pdf</x:v>
      </x:c>
    </x:row>
    <x:row r="451">
      <x:c r="A451" t="str">
        <x:v>2010-06</x:v>
      </x:c>
      <x:c r="B451" t="n">
        <x:v>2010</x:v>
      </x:c>
      <x:c r="C451" t="n">
        <x:v>6</x:v>
      </x:c>
      <x:c r="D451" s="42" t="n">
        <x:v>5.89</x:v>
      </x:c>
      <x:c r="E451" t="str">
        <x:v>V122521</x:v>
      </x:c>
      <x:c r="F451" s="36" t="str">
        <x:v>https://www.bankofcanada.ca/wp-content/uploads/2010/09/selected_historical_v122521.pdf</x:v>
      </x:c>
    </x:row>
    <x:row r="452">
      <x:c r="A452" t="str">
        <x:v>2010-07</x:v>
      </x:c>
      <x:c r="B452" t="n">
        <x:v>2010</x:v>
      </x:c>
      <x:c r="C452" t="n">
        <x:v>7</x:v>
      </x:c>
      <x:c r="D452" s="42" t="n">
        <x:v>5.79</x:v>
      </x:c>
      <x:c r="E452" t="str">
        <x:v>V122521</x:v>
      </x:c>
      <x:c r="F452" s="36" t="str">
        <x:v>https://www.bankofcanada.ca/wp-content/uploads/2010/09/selected_historical_v122521.pdf</x:v>
      </x:c>
    </x:row>
    <x:row r="453">
      <x:c r="A453" t="str">
        <x:v>2010-08</x:v>
      </x:c>
      <x:c r="B453" t="n">
        <x:v>2010</x:v>
      </x:c>
      <x:c r="C453" t="n">
        <x:v>8</x:v>
      </x:c>
      <x:c r="D453" s="42" t="n">
        <x:v>5.39</x:v>
      </x:c>
      <x:c r="E453" t="str">
        <x:v>V122521</x:v>
      </x:c>
      <x:c r="F453" s="36" t="str">
        <x:v>https://www.bankofcanada.ca/wp-content/uploads/2010/09/selected_historical_v122521.pdf</x:v>
      </x:c>
    </x:row>
    <x:row r="454">
      <x:c r="A454" t="str">
        <x:v>2010-09</x:v>
      </x:c>
      <x:c r="B454" t="n">
        <x:v>2010</x:v>
      </x:c>
      <x:c r="C454" t="n">
        <x:v>9</x:v>
      </x:c>
      <x:c r="D454" s="42" t="n">
        <x:v>5.39</x:v>
      </x:c>
      <x:c r="E454" t="str">
        <x:v>V122521</x:v>
      </x:c>
      <x:c r="F454" s="36" t="str">
        <x:v>https://www.bankofcanada.ca/wp-content/uploads/2010/09/selected_historical_v122521.pdf</x:v>
      </x:c>
    </x:row>
    <x:row r="455">
      <x:c r="A455" t="str">
        <x:v>2010-10</x:v>
      </x:c>
      <x:c r="B455" t="n">
        <x:v>2010</x:v>
      </x:c>
      <x:c r="C455" t="n">
        <x:v>10</x:v>
      </x:c>
      <x:c r="D455" s="42" t="n">
        <x:v>5.29</x:v>
      </x:c>
      <x:c r="E455" t="str">
        <x:v>V122521</x:v>
      </x:c>
      <x:c r="F455" s="36" t="str">
        <x:v>https://www.bankofcanada.ca/wp-content/uploads/2010/09/selected_historical_v122521.pdf</x:v>
      </x:c>
    </x:row>
    <x:row r="456">
      <x:c r="A456" t="str">
        <x:v>2010-11</x:v>
      </x:c>
      <x:c r="B456" t="n">
        <x:v>2010</x:v>
      </x:c>
      <x:c r="C456" t="n">
        <x:v>11</x:v>
      </x:c>
      <x:c r="D456" s="42" t="n">
        <x:v>5.44</x:v>
      </x:c>
      <x:c r="E456" t="str">
        <x:v>V122521</x:v>
      </x:c>
      <x:c r="F456" s="36" t="str">
        <x:v>https://www.bankofcanada.ca/wp-content/uploads/2010/09/selected_historical_v122521.pdf</x:v>
      </x:c>
    </x:row>
    <x:row r="457">
      <x:c r="A457" t="str">
        <x:v>2010-12</x:v>
      </x:c>
      <x:c r="B457" t="n">
        <x:v>2010</x:v>
      </x:c>
      <x:c r="C457" t="n">
        <x:v>12</x:v>
      </x:c>
      <x:c r="D457" s="42" t="n">
        <x:v>5.19</x:v>
      </x:c>
      <x:c r="E457" t="str">
        <x:v>V122521</x:v>
      </x:c>
      <x:c r="F457" s="36" t="str">
        <x:v>https://www.bankofcanada.ca/wp-content/uploads/2010/09/selected_historical_v122521.pdf</x:v>
      </x:c>
    </x:row>
  </x:sheetData>
  <x:pageMargins left="0.7" right="0.7" top="0.75" bottom="0.75" header="0.3" footer="0.3"/>
  <x:tableParts count="1">
    <x:tablePart xmlns:r="http://schemas.openxmlformats.org/officeDocument/2006/relationships" r:id="R89d827118ec64f9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42" hidden="0" customWidth="1"/>
  </x:cols>
  <x:sheetData>
    <x:row r="1">
      <x:c r="A1" s="15" t="str">
        <x:v>year</x:v>
      </x:c>
      <x:c r="B1" s="15" t="str">
        <x:v>growth_rate_active_businesses_pct</x:v>
      </x:c>
      <x:c r="C1" s="15" t="str">
        <x:v>entry_rate_pct</x:v>
      </x:c>
      <x:c r="D1" s="15" t="str">
        <x:v>exit_rate_pct</x:v>
      </x:c>
      <x:c r="E1" s="15" t="str">
        <x:v>net_entry_rate_pct</x:v>
      </x:c>
      <x:c r="F1" s="15" t="str">
        <x:v>source_table</x:v>
      </x:c>
      <x:c r="G1" s="15" t="str">
        <x:v>source_url</x:v>
      </x:c>
    </x:row>
    <x:row r="2">
      <x:c r="A2" t="n">
        <x:v>2002</x:v>
      </x:c>
      <x:c r="B2" s="42" t="n">
        <x:v>0.9</x:v>
      </x:c>
      <x:c r="C2" s="38" t="n">
        <x:v>13.7</x:v>
      </x:c>
      <x:c r="D2" s="38" t="n">
        <x:v>12.7</x:v>
      </x:c>
      <x:c r="E2" s="38" t="n">
        <x:v>1</x:v>
      </x:c>
      <x:c r="F2" s="36" t="str">
        <x:v>Statistics Canada Table 33-10-0164-01</x:v>
      </x:c>
      <x:c r="G2" s="36" t="str">
        <x:v>https://www150.statcan.gc.ca/n1/daily-quotidien/260212/cg-a001-eng.htm</x:v>
      </x:c>
    </x:row>
    <x:row r="3">
      <x:c r="A3" t="n">
        <x:v>2003</x:v>
      </x:c>
      <x:c r="B3" s="42" t="n">
        <x:v>1.2</x:v>
      </x:c>
      <x:c r="C3" s="38" t="n">
        <x:v>13.7</x:v>
      </x:c>
      <x:c r="D3" s="38" t="n">
        <x:v>12.4</x:v>
      </x:c>
      <x:c r="E3" s="38" t="n">
        <x:v>1.3</x:v>
      </x:c>
      <x:c r="F3" s="36" t="str">
        <x:v>Statistics Canada Table 33-10-0164-01</x:v>
      </x:c>
      <x:c r="G3" s="36" t="str">
        <x:v>https://www150.statcan.gc.ca/n1/daily-quotidien/260212/cg-a001-eng.htm</x:v>
      </x:c>
    </x:row>
    <x:row r="4">
      <x:c r="A4" t="n">
        <x:v>2004</x:v>
      </x:c>
      <x:c r="B4" s="42" t="n">
        <x:v>3</x:v>
      </x:c>
      <x:c r="C4" s="38" t="n">
        <x:v>15.1</x:v>
      </x:c>
      <x:c r="D4" s="38" t="n">
        <x:v>12.1</x:v>
      </x:c>
      <x:c r="E4" s="38" t="n">
        <x:v>3</x:v>
      </x:c>
      <x:c r="F4" s="36" t="str">
        <x:v>Statistics Canada Table 33-10-0164-01</x:v>
      </x:c>
      <x:c r="G4" s="36" t="str">
        <x:v>https://www150.statcan.gc.ca/n1/daily-quotidien/260212/cg-a001-eng.htm</x:v>
      </x:c>
    </x:row>
    <x:row r="5">
      <x:c r="A5" t="n">
        <x:v>2005</x:v>
      </x:c>
      <x:c r="B5" s="42" t="n">
        <x:v>2.7</x:v>
      </x:c>
      <x:c r="C5" s="38" t="n">
        <x:v>14.9</x:v>
      </x:c>
      <x:c r="D5" s="38" t="n">
        <x:v>12.2</x:v>
      </x:c>
      <x:c r="E5" s="38" t="n">
        <x:v>2.7</x:v>
      </x:c>
      <x:c r="F5" s="36" t="str">
        <x:v>Statistics Canada Table 33-10-0164-01</x:v>
      </x:c>
      <x:c r="G5" s="36" t="str">
        <x:v>https://www150.statcan.gc.ca/n1/daily-quotidien/260212/cg-a001-eng.htm</x:v>
      </x:c>
    </x:row>
    <x:row r="6">
      <x:c r="A6" t="n">
        <x:v>2006</x:v>
      </x:c>
      <x:c r="B6" s="42" t="n">
        <x:v>1.4</x:v>
      </x:c>
      <x:c r="C6" s="38" t="n">
        <x:v>14.4</x:v>
      </x:c>
      <x:c r="D6" s="38" t="n">
        <x:v>13</x:v>
      </x:c>
      <x:c r="E6" s="38" t="n">
        <x:v>1.4</x:v>
      </x:c>
      <x:c r="F6" s="36" t="str">
        <x:v>Statistics Canada Table 33-10-0164-01</x:v>
      </x:c>
      <x:c r="G6" s="36" t="str">
        <x:v>https://www150.statcan.gc.ca/n1/daily-quotidien/260212/cg-a001-eng.htm</x:v>
      </x:c>
    </x:row>
    <x:row r="7">
      <x:c r="A7" t="n">
        <x:v>2007</x:v>
      </x:c>
      <x:c r="B7" s="42" t="n">
        <x:v>3.3</x:v>
      </x:c>
      <x:c r="C7" s="38" t="n">
        <x:v>15.2</x:v>
      </x:c>
      <x:c r="D7" s="38" t="n">
        <x:v>12</x:v>
      </x:c>
      <x:c r="E7" s="38" t="n">
        <x:v>3.2</x:v>
      </x:c>
      <x:c r="F7" s="36" t="str">
        <x:v>Statistics Canada Table 33-10-0164-01</x:v>
      </x:c>
      <x:c r="G7" s="36" t="str">
        <x:v>https://www150.statcan.gc.ca/n1/daily-quotidien/260212/cg-a001-eng.htm</x:v>
      </x:c>
    </x:row>
    <x:row r="8">
      <x:c r="A8" t="n">
        <x:v>2008</x:v>
      </x:c>
      <x:c r="B8" s="42" t="n">
        <x:v>1.9</x:v>
      </x:c>
      <x:c r="C8" s="38" t="n">
        <x:v>14.3</x:v>
      </x:c>
      <x:c r="D8" s="38" t="n">
        <x:v>12.4</x:v>
      </x:c>
      <x:c r="E8" s="38" t="n">
        <x:v>1.9</x:v>
      </x:c>
      <x:c r="F8" s="36" t="str">
        <x:v>Statistics Canada Table 33-10-0164-01</x:v>
      </x:c>
      <x:c r="G8" s="36" t="str">
        <x:v>https://www150.statcan.gc.ca/n1/daily-quotidien/260212/cg-a001-eng.htm</x:v>
      </x:c>
    </x:row>
    <x:row r="9">
      <x:c r="A9" t="n">
        <x:v>2009</x:v>
      </x:c>
      <x:c r="B9" s="42" t="n">
        <x:v>0.5</x:v>
      </x:c>
      <x:c r="C9" s="38" t="n">
        <x:v>13.2</x:v>
      </x:c>
      <x:c r="D9" s="38" t="n">
        <x:v>12.7</x:v>
      </x:c>
      <x:c r="E9" s="38" t="n">
        <x:v>0.5</x:v>
      </x:c>
      <x:c r="F9" s="36" t="str">
        <x:v>Statistics Canada Table 33-10-0164-01</x:v>
      </x:c>
      <x:c r="G9" s="36" t="str">
        <x:v>https://www150.statcan.gc.ca/n1/daily-quotidien/260212/cg-a001-eng.htm</x:v>
      </x:c>
    </x:row>
    <x:row r="10">
      <x:c r="A10" t="n">
        <x:v>2010</x:v>
      </x:c>
      <x:c r="B10" s="42" t="n">
        <x:v>1.3</x:v>
      </x:c>
      <x:c r="C10" s="38" t="n">
        <x:v>13.3</x:v>
      </x:c>
      <x:c r="D10" s="38" t="n">
        <x:v>12</x:v>
      </x:c>
      <x:c r="E10" s="38" t="n">
        <x:v>1.3</x:v>
      </x:c>
      <x:c r="F10" s="36" t="str">
        <x:v>Statistics Canada Table 33-10-0164-01</x:v>
      </x:c>
      <x:c r="G10" s="36" t="str">
        <x:v>https://www150.statcan.gc.ca/n1/daily-quotidien/260212/cg-a001-eng.htm</x:v>
      </x:c>
    </x:row>
    <x:row r="11">
      <x:c r="A11" t="n">
        <x:v>2011</x:v>
      </x:c>
      <x:c r="B11" s="42" t="n">
        <x:v>1.3</x:v>
      </x:c>
      <x:c r="C11" s="38" t="n">
        <x:v>13.1</x:v>
      </x:c>
      <x:c r="D11" s="38" t="n">
        <x:v>11.8</x:v>
      </x:c>
      <x:c r="E11" s="38" t="n">
        <x:v>1.3</x:v>
      </x:c>
      <x:c r="F11" s="36" t="str">
        <x:v>Statistics Canada Table 33-10-0164-01</x:v>
      </x:c>
      <x:c r="G11" s="36" t="str">
        <x:v>https://www150.statcan.gc.ca/n1/daily-quotidien/260212/cg-a001-eng.htm</x:v>
      </x:c>
    </x:row>
    <x:row r="12">
      <x:c r="A12" t="n">
        <x:v>2012</x:v>
      </x:c>
      <x:c r="B12" s="42" t="n">
        <x:v>1.3</x:v>
      </x:c>
      <x:c r="C12" s="38" t="n">
        <x:v>13.1</x:v>
      </x:c>
      <x:c r="D12" s="38" t="n">
        <x:v>11.8</x:v>
      </x:c>
      <x:c r="E12" s="38" t="n">
        <x:v>1.3</x:v>
      </x:c>
      <x:c r="F12" s="36" t="str">
        <x:v>Statistics Canada Table 33-10-0164-01</x:v>
      </x:c>
      <x:c r="G12" s="36" t="str">
        <x:v>https://www150.statcan.gc.ca/n1/daily-quotidien/260212/cg-a001-eng.htm</x:v>
      </x:c>
    </x:row>
    <x:row r="13">
      <x:c r="A13" t="n">
        <x:v>2013</x:v>
      </x:c>
      <x:c r="B13" s="42" t="n">
        <x:v>0.9</x:v>
      </x:c>
      <x:c r="C13" s="38" t="n">
        <x:v>12.6</x:v>
      </x:c>
      <x:c r="D13" s="38" t="n">
        <x:v>11.8</x:v>
      </x:c>
      <x:c r="E13" s="38" t="n">
        <x:v>0.8</x:v>
      </x:c>
      <x:c r="F13" s="36" t="str">
        <x:v>Statistics Canada Table 33-10-0164-01</x:v>
      </x:c>
      <x:c r="G13" s="36" t="str">
        <x:v>https://www150.statcan.gc.ca/n1/daily-quotidien/260212/cg-a001-eng.htm</x:v>
      </x:c>
    </x:row>
    <x:row r="14">
      <x:c r="A14" t="n">
        <x:v>2014</x:v>
      </x:c>
      <x:c r="B14" s="42" t="n">
        <x:v>1.2</x:v>
      </x:c>
      <x:c r="C14" s="38" t="n">
        <x:v>12.7</x:v>
      </x:c>
      <x:c r="D14" s="38" t="n">
        <x:v>11.5</x:v>
      </x:c>
      <x:c r="E14" s="38" t="n">
        <x:v>1.2</x:v>
      </x:c>
      <x:c r="F14" s="36" t="str">
        <x:v>Statistics Canada Table 33-10-0164-01</x:v>
      </x:c>
      <x:c r="G14" s="36" t="str">
        <x:v>https://www150.statcan.gc.ca/n1/daily-quotidien/260212/cg-a001-eng.htm</x:v>
      </x:c>
    </x:row>
    <x:row r="15">
      <x:c r="A15" t="n">
        <x:v>2015</x:v>
      </x:c>
      <x:c r="B15" s="42" t="n">
        <x:v>0.8</x:v>
      </x:c>
      <x:c r="C15" s="38" t="n">
        <x:v>12.3</x:v>
      </x:c>
      <x:c r="D15" s="38" t="n">
        <x:v>11.5</x:v>
      </x:c>
      <x:c r="E15" s="38" t="n">
        <x:v>0.8</x:v>
      </x:c>
      <x:c r="F15" s="36" t="str">
        <x:v>Statistics Canada Table 33-10-0164-01</x:v>
      </x:c>
      <x:c r="G15" s="36" t="str">
        <x:v>https://www150.statcan.gc.ca/n1/daily-quotidien/260212/cg-a001-eng.htm</x:v>
      </x:c>
    </x:row>
    <x:row r="16">
      <x:c r="A16" t="n">
        <x:v>2016</x:v>
      </x:c>
      <x:c r="B16" s="42" t="n">
        <x:v>0.1</x:v>
      </x:c>
      <x:c r="C16" s="38" t="n">
        <x:v>12.1</x:v>
      </x:c>
      <x:c r="D16" s="38" t="n">
        <x:v>12</x:v>
      </x:c>
      <x:c r="E16" s="38" t="n">
        <x:v>0.1</x:v>
      </x:c>
      <x:c r="F16" s="36" t="str">
        <x:v>Statistics Canada Table 33-10-0164-01</x:v>
      </x:c>
      <x:c r="G16" s="36" t="str">
        <x:v>https://www150.statcan.gc.ca/n1/daily-quotidien/260212/cg-a001-eng.htm</x:v>
      </x:c>
    </x:row>
    <x:row r="17">
      <x:c r="A17" t="n">
        <x:v>2017</x:v>
      </x:c>
      <x:c r="B17" s="42" t="n">
        <x:v>1.3</x:v>
      </x:c>
      <x:c r="C17" s="38" t="n">
        <x:v>12.7</x:v>
      </x:c>
      <x:c r="D17" s="38" t="n">
        <x:v>11.5</x:v>
      </x:c>
      <x:c r="E17" s="38" t="n">
        <x:v>1.2</x:v>
      </x:c>
      <x:c r="F17" s="36" t="str">
        <x:v>Statistics Canada Table 33-10-0164-01</x:v>
      </x:c>
      <x:c r="G17" s="36" t="str">
        <x:v>https://www150.statcan.gc.ca/n1/daily-quotidien/260212/cg-a001-eng.htm</x:v>
      </x:c>
    </x:row>
    <x:row r="18">
      <x:c r="A18" t="n">
        <x:v>2018</x:v>
      </x:c>
      <x:c r="B18" s="42" t="n">
        <x:v>1.2</x:v>
      </x:c>
      <x:c r="C18" s="38" t="n">
        <x:v>12.7</x:v>
      </x:c>
      <x:c r="D18" s="38" t="n">
        <x:v>11.5</x:v>
      </x:c>
      <x:c r="E18" s="38" t="n">
        <x:v>1.2</x:v>
      </x:c>
      <x:c r="F18" s="36" t="str">
        <x:v>Statistics Canada Table 33-10-0164-01</x:v>
      </x:c>
      <x:c r="G18" s="36" t="str">
        <x:v>https://www150.statcan.gc.ca/n1/daily-quotidien/260212/cg-a001-eng.htm</x:v>
      </x:c>
    </x:row>
    <x:row r="19">
      <x:c r="A19" t="n">
        <x:v>2019</x:v>
      </x:c>
      <x:c r="B19" s="42" t="n">
        <x:v>2.3</x:v>
      </x:c>
      <x:c r="C19" s="38" t="n">
        <x:v>14.1</x:v>
      </x:c>
      <x:c r="D19" s="38" t="n">
        <x:v>11.8</x:v>
      </x:c>
      <x:c r="E19" s="38" t="n">
        <x:v>2.3</x:v>
      </x:c>
      <x:c r="F19" s="36" t="str">
        <x:v>Statistics Canada Table 33-10-0164-01</x:v>
      </x:c>
      <x:c r="G19" s="36" t="str">
        <x:v>https://www150.statcan.gc.ca/n1/daily-quotidien/260212/cg-a001-eng.htm</x:v>
      </x:c>
    </x:row>
    <x:row r="20">
      <x:c r="A20" t="n">
        <x:v>2020</x:v>
      </x:c>
      <x:c r="B20" s="42" t="n">
        <x:v>-2.4</x:v>
      </x:c>
      <x:c r="C20" s="38" t="n">
        <x:v>11.5</x:v>
      </x:c>
      <x:c r="D20" s="38" t="n">
        <x:v>14</x:v>
      </x:c>
      <x:c r="E20" s="38" t="n">
        <x:v>-2.5</x:v>
      </x:c>
      <x:c r="F20" s="36" t="str">
        <x:v>Statistics Canada Table 33-10-0164-01</x:v>
      </x:c>
      <x:c r="G20" s="36" t="str">
        <x:v>https://www150.statcan.gc.ca/n1/daily-quotidien/260212/cg-a001-eng.htm</x:v>
      </x:c>
    </x:row>
    <x:row r="21">
      <x:c r="A21" t="n">
        <x:v>2021</x:v>
      </x:c>
      <x:c r="B21" s="42" t="n">
        <x:v>1.6</x:v>
      </x:c>
      <x:c r="C21" s="38" t="n">
        <x:v>13.7</x:v>
      </x:c>
      <x:c r="D21" s="38" t="n">
        <x:v>12.1</x:v>
      </x:c>
      <x:c r="E21" s="38" t="n">
        <x:v>1.6</x:v>
      </x:c>
      <x:c r="F21" s="36" t="str">
        <x:v>Statistics Canada Table 33-10-0164-01</x:v>
      </x:c>
      <x:c r="G21" s="36" t="str">
        <x:v>https://www150.statcan.gc.ca/n1/daily-quotidien/260212/cg-a001-eng.htm</x:v>
      </x:c>
    </x:row>
    <x:row r="22">
      <x:c r="A22" t="n">
        <x:v>2022</x:v>
      </x:c>
      <x:c r="B22" s="42" t="n">
        <x:v>3.1</x:v>
      </x:c>
      <x:c r="C22" s="38" t="n">
        <x:v>13.9</x:v>
      </x:c>
      <x:c r="D22" s="38" t="n">
        <x:v>10.8</x:v>
      </x:c>
      <x:c r="E22" s="38" t="n">
        <x:v>3.1</x:v>
      </x:c>
      <x:c r="F22" s="36" t="str">
        <x:v>Statistics Canada Table 33-10-0164-01</x:v>
      </x:c>
      <x:c r="G22" s="36" t="str">
        <x:v>https://www150.statcan.gc.ca/n1/daily-quotidien/260212/cg-a001-eng.htm</x:v>
      </x:c>
    </x:row>
    <x:row r="23">
      <x:c r="A23" t="n">
        <x:v>2023</x:v>
      </x:c>
      <x:c r="B23" s="42" t="n">
        <x:v>0.5</x:v>
      </x:c>
      <x:c r="C23" s="38" t="n">
        <x:v>12.3</x:v>
      </x:c>
      <x:c r="D23" s="38" t="n">
        <x:v>11.9</x:v>
      </x:c>
      <x:c r="E23" s="38" t="n">
        <x:v>0.4</x:v>
      </x:c>
      <x:c r="F23" s="36" t="str">
        <x:v>Statistics Canada Table 33-10-0164-01</x:v>
      </x:c>
      <x:c r="G23" s="36" t="str">
        <x:v>https://www150.statcan.gc.ca/n1/daily-quotidien/260212/cg-a001-eng.htm</x:v>
      </x:c>
    </x:row>
  </x:sheetData>
  <x:pageMargins left="0.7" right="0.7" top="0.75" bottom="0.75" header="0.3" footer="0.3"/>
  <x:tableParts count="1">
    <x:tablePart xmlns:r="http://schemas.openxmlformats.org/officeDocument/2006/relationships" r:id="Rea0234121618455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</x:cols>
  <x:sheetData>
    <x:row r="1">
      <x:c r="A1" s="15" t="str">
        <x:v>period</x:v>
      </x:c>
      <x:c r="B1" s="15" t="str">
        <x:v>entry_rate_pct</x:v>
      </x:c>
      <x:c r="C1" s="15" t="str">
        <x:v>exit_rate_pct</x:v>
      </x:c>
      <x:c r="D1" s="15" t="str">
        <x:v>net_entry_rate_pct</x:v>
      </x:c>
      <x:c r="E1" s="15" t="str">
        <x:v>source_url</x:v>
      </x:c>
    </x:row>
    <x:row r="2">
      <x:c r="A2" t="str">
        <x:v>1983/1984</x:v>
      </x:c>
      <x:c r="B2" s="38" t="n">
        <x:v>24.5</x:v>
      </x:c>
      <x:c r="C2" s="38" t="n">
        <x:v>16.5</x:v>
      </x:c>
      <x:c r="D2" s="38" t="n">
        <x:v>8</x:v>
      </x:c>
      <x:c r="E2" s="36" t="str">
        <x:v>https://www150.statcan.gc.ca/n1/daily-quotidien/140825/cg-a001-eng.htm</x:v>
      </x:c>
    </x:row>
    <x:row r="3">
      <x:c r="A3" t="str">
        <x:v>1984/1985</x:v>
      </x:c>
      <x:c r="B3" s="38" t="n">
        <x:v>22.2</x:v>
      </x:c>
      <x:c r="C3" s="38" t="n">
        <x:v>16.1</x:v>
      </x:c>
      <x:c r="D3" s="38" t="n">
        <x:v>6.1</x:v>
      </x:c>
      <x:c r="E3" s="36" t="str">
        <x:v>https://www150.statcan.gc.ca/n1/daily-quotidien/140825/cg-a001-eng.htm</x:v>
      </x:c>
    </x:row>
    <x:row r="4">
      <x:c r="A4" t="str">
        <x:v>1985/1986</x:v>
      </x:c>
      <x:c r="B4" s="38" t="n">
        <x:v>20.5</x:v>
      </x:c>
      <x:c r="C4" s="38" t="n">
        <x:v>15.7</x:v>
      </x:c>
      <x:c r="D4" s="38" t="n">
        <x:v>4.8</x:v>
      </x:c>
      <x:c r="E4" s="36" t="str">
        <x:v>https://www150.statcan.gc.ca/n1/daily-quotidien/140825/cg-a001-eng.htm</x:v>
      </x:c>
    </x:row>
    <x:row r="5">
      <x:c r="A5" t="str">
        <x:v>1986/1987</x:v>
      </x:c>
      <x:c r="B5" s="38" t="n">
        <x:v>20.8</x:v>
      </x:c>
      <x:c r="C5" s="38" t="n">
        <x:v>15.2</x:v>
      </x:c>
      <x:c r="D5" s="38" t="n">
        <x:v>5.6</x:v>
      </x:c>
      <x:c r="E5" s="36" t="str">
        <x:v>https://www150.statcan.gc.ca/n1/daily-quotidien/140825/cg-a001-eng.htm</x:v>
      </x:c>
    </x:row>
    <x:row r="6">
      <x:c r="A6" t="str">
        <x:v>1987/1988</x:v>
      </x:c>
      <x:c r="B6" s="38" t="n">
        <x:v>20</x:v>
      </x:c>
      <x:c r="C6" s="38" t="n">
        <x:v>16.1</x:v>
      </x:c>
      <x:c r="D6" s="38" t="n">
        <x:v>3.9</x:v>
      </x:c>
      <x:c r="E6" s="36" t="str">
        <x:v>https://www150.statcan.gc.ca/n1/daily-quotidien/140825/cg-a001-eng.htm</x:v>
      </x:c>
    </x:row>
    <x:row r="7">
      <x:c r="A7" t="str">
        <x:v>1988/1989</x:v>
      </x:c>
      <x:c r="B7" s="38" t="n">
        <x:v>19.4</x:v>
      </x:c>
      <x:c r="C7" s="38" t="n">
        <x:v>16.7</x:v>
      </x:c>
      <x:c r="D7" s="38" t="n">
        <x:v>2.7</x:v>
      </x:c>
      <x:c r="E7" s="36" t="str">
        <x:v>https://www150.statcan.gc.ca/n1/daily-quotidien/140825/cg-a001-eng.htm</x:v>
      </x:c>
    </x:row>
    <x:row r="8">
      <x:c r="A8" t="str">
        <x:v>1989/1990</x:v>
      </x:c>
      <x:c r="B8" s="38" t="n">
        <x:v>19.8</x:v>
      </x:c>
      <x:c r="C8" s="38" t="n">
        <x:v>18.5</x:v>
      </x:c>
      <x:c r="D8" s="38" t="n">
        <x:v>1.3</x:v>
      </x:c>
      <x:c r="E8" s="36" t="str">
        <x:v>https://www150.statcan.gc.ca/n1/daily-quotidien/140825/cg-a001-eng.htm</x:v>
      </x:c>
    </x:row>
    <x:row r="9">
      <x:c r="A9" t="str">
        <x:v>1990/1991</x:v>
      </x:c>
      <x:c r="B9" s="38" t="n">
        <x:v>18.8</x:v>
      </x:c>
      <x:c r="C9" s="38" t="n">
        <x:v>19.1</x:v>
      </x:c>
      <x:c r="D9" s="38" t="n">
        <x:v>-0.3</x:v>
      </x:c>
      <x:c r="E9" s="36" t="str">
        <x:v>https://www150.statcan.gc.ca/n1/daily-quotidien/140825/cg-a001-eng.htm</x:v>
      </x:c>
    </x:row>
    <x:row r="10">
      <x:c r="A10" t="str">
        <x:v>1991/1992</x:v>
      </x:c>
      <x:c r="B10" s="38" t="n">
        <x:v>18.4</x:v>
      </x:c>
      <x:c r="C10" s="38" t="n">
        <x:v>17.3</x:v>
      </x:c>
      <x:c r="D10" s="38" t="n">
        <x:v>1.1</x:v>
      </x:c>
      <x:c r="E10" s="36" t="str">
        <x:v>https://www150.statcan.gc.ca/n1/daily-quotidien/140825/cg-a001-eng.htm</x:v>
      </x:c>
    </x:row>
    <x:row r="11">
      <x:c r="A11" t="str">
        <x:v>1992/1993</x:v>
      </x:c>
      <x:c r="B11" s="38" t="n">
        <x:v>17.3</x:v>
      </x:c>
      <x:c r="C11" s="38" t="n">
        <x:v>17</x:v>
      </x:c>
      <x:c r="D11" s="38" t="n">
        <x:v>0.3</x:v>
      </x:c>
      <x:c r="E11" s="36" t="str">
        <x:v>https://www150.statcan.gc.ca/n1/daily-quotidien/140825/cg-a001-eng.htm</x:v>
      </x:c>
    </x:row>
    <x:row r="12">
      <x:c r="A12" t="str">
        <x:v>1993/1994</x:v>
      </x:c>
      <x:c r="B12" s="38" t="n">
        <x:v>17.4</x:v>
      </x:c>
      <x:c r="C12" s="38" t="n">
        <x:v>16.7</x:v>
      </x:c>
      <x:c r="D12" s="38" t="n">
        <x:v>0.7</x:v>
      </x:c>
      <x:c r="E12" s="36" t="str">
        <x:v>https://www150.statcan.gc.ca/n1/daily-quotidien/140825/cg-a001-eng.htm</x:v>
      </x:c>
    </x:row>
    <x:row r="13">
      <x:c r="A13" t="str">
        <x:v>1994/1995</x:v>
      </x:c>
      <x:c r="B13" s="38" t="n">
        <x:v>17.4</x:v>
      </x:c>
      <x:c r="C13" s="38" t="n">
        <x:v>17.2</x:v>
      </x:c>
      <x:c r="D13" s="38" t="n">
        <x:v>0.2</x:v>
      </x:c>
      <x:c r="E13" s="36" t="str">
        <x:v>https://www150.statcan.gc.ca/n1/daily-quotidien/140825/cg-a001-eng.htm</x:v>
      </x:c>
    </x:row>
    <x:row r="14">
      <x:c r="A14" t="str">
        <x:v>1995/1996</x:v>
      </x:c>
      <x:c r="B14" s="38" t="n">
        <x:v>17.9</x:v>
      </x:c>
      <x:c r="C14" s="38" t="n">
        <x:v>17.9</x:v>
      </x:c>
      <x:c r="D14" s="38" t="n">
        <x:v>0</x:v>
      </x:c>
      <x:c r="E14" s="36" t="str">
        <x:v>https://www150.statcan.gc.ca/n1/daily-quotidien/140825/cg-a001-eng.htm</x:v>
      </x:c>
    </x:row>
    <x:row r="15">
      <x:c r="A15" t="str">
        <x:v>1996/1997</x:v>
      </x:c>
      <x:c r="B15" s="38" t="n">
        <x:v>17.9</x:v>
      </x:c>
      <x:c r="C15" s="38" t="n">
        <x:v>15.2</x:v>
      </x:c>
      <x:c r="D15" s="38" t="n">
        <x:v>2.7</x:v>
      </x:c>
      <x:c r="E15" s="36" t="str">
        <x:v>https://www150.statcan.gc.ca/n1/daily-quotidien/140825/cg-a001-eng.htm</x:v>
      </x:c>
    </x:row>
    <x:row r="16">
      <x:c r="A16" t="str">
        <x:v>1997/1998</x:v>
      </x:c>
      <x:c r="B16" s="38" t="n">
        <x:v>16.7</x:v>
      </x:c>
      <x:c r="C16" s="38" t="n">
        <x:v>14.4</x:v>
      </x:c>
      <x:c r="D16" s="38" t="n">
        <x:v>2.3</x:v>
      </x:c>
      <x:c r="E16" s="36" t="str">
        <x:v>https://www150.statcan.gc.ca/n1/daily-quotidien/140825/cg-a001-eng.htm</x:v>
      </x:c>
    </x:row>
    <x:row r="17">
      <x:c r="A17" t="str">
        <x:v>1998/1999</x:v>
      </x:c>
      <x:c r="B17" s="38" t="n">
        <x:v>15.4</x:v>
      </x:c>
      <x:c r="C17" s="38" t="n">
        <x:v>13.8</x:v>
      </x:c>
      <x:c r="D17" s="38" t="n">
        <x:v>1.6</x:v>
      </x:c>
      <x:c r="E17" s="36" t="str">
        <x:v>https://www150.statcan.gc.ca/n1/daily-quotidien/140825/cg-a001-eng.htm</x:v>
      </x:c>
    </x:row>
    <x:row r="18">
      <x:c r="A18" t="str">
        <x:v>1999/2000</x:v>
      </x:c>
      <x:c r="B18" s="38" t="n">
        <x:v>14.7</x:v>
      </x:c>
      <x:c r="C18" s="38" t="n">
        <x:v>13.5</x:v>
      </x:c>
      <x:c r="D18" s="38" t="n">
        <x:v>1.2</x:v>
      </x:c>
      <x:c r="E18" s="36" t="str">
        <x:v>https://www150.statcan.gc.ca/n1/daily-quotidien/140825/cg-a001-eng.htm</x:v>
      </x:c>
    </x:row>
    <x:row r="19">
      <x:c r="A19" t="str">
        <x:v>2000/2001</x:v>
      </x:c>
      <x:c r="B19" s="38" t="n">
        <x:v>14.1</x:v>
      </x:c>
      <x:c r="C19" s="38" t="n">
        <x:v>13</x:v>
      </x:c>
      <x:c r="D19" s="38" t="n">
        <x:v>1.1</x:v>
      </x:c>
      <x:c r="E19" s="36" t="str">
        <x:v>https://www150.statcan.gc.ca/n1/daily-quotidien/140825/cg-a001-eng.htm</x:v>
      </x:c>
    </x:row>
    <x:row r="20">
      <x:c r="A20" t="str">
        <x:v>2001/2002</x:v>
      </x:c>
      <x:c r="B20" s="38" t="n">
        <x:v>14</x:v>
      </x:c>
      <x:c r="C20" s="38" t="n">
        <x:v>12.8</x:v>
      </x:c>
      <x:c r="D20" s="38" t="n">
        <x:v>1.2</x:v>
      </x:c>
      <x:c r="E20" s="36" t="str">
        <x:v>https://www150.statcan.gc.ca/n1/daily-quotidien/140825/cg-a001-eng.htm</x:v>
      </x:c>
    </x:row>
    <x:row r="21">
      <x:c r="A21" t="str">
        <x:v>2002/2003</x:v>
      </x:c>
      <x:c r="B21" s="38" t="n">
        <x:v>14.1</x:v>
      </x:c>
      <x:c r="C21" s="38" t="n">
        <x:v>12.5</x:v>
      </x:c>
      <x:c r="D21" s="38" t="n">
        <x:v>1.6</x:v>
      </x:c>
      <x:c r="E21" s="36" t="str">
        <x:v>https://www150.statcan.gc.ca/n1/daily-quotidien/140825/cg-a001-eng.htm</x:v>
      </x:c>
    </x:row>
    <x:row r="22">
      <x:c r="A22" t="str">
        <x:v>2003/2004</x:v>
      </x:c>
      <x:c r="B22" s="38" t="n">
        <x:v>15.4</x:v>
      </x:c>
      <x:c r="C22" s="38" t="n">
        <x:v>12.1</x:v>
      </x:c>
      <x:c r="D22" s="38" t="n">
        <x:v>3.3</x:v>
      </x:c>
      <x:c r="E22" s="36" t="str">
        <x:v>https://www150.statcan.gc.ca/n1/daily-quotidien/140825/cg-a001-eng.htm</x:v>
      </x:c>
    </x:row>
    <x:row r="23">
      <x:c r="A23" t="str">
        <x:v>2004/2005</x:v>
      </x:c>
      <x:c r="B23" s="38" t="n">
        <x:v>15</x:v>
      </x:c>
      <x:c r="C23" s="38" t="n">
        <x:v>12.1</x:v>
      </x:c>
      <x:c r="D23" s="38" t="n">
        <x:v>2.9</x:v>
      </x:c>
      <x:c r="E23" s="36" t="str">
        <x:v>https://www150.statcan.gc.ca/n1/daily-quotidien/140825/cg-a001-eng.htm</x:v>
      </x:c>
    </x:row>
    <x:row r="24">
      <x:c r="A24" t="str">
        <x:v>2005/2006</x:v>
      </x:c>
      <x:c r="B24" s="38" t="n">
        <x:v>14.5</x:v>
      </x:c>
      <x:c r="C24" s="38" t="n">
        <x:v>12.8</x:v>
      </x:c>
      <x:c r="D24" s="38" t="n">
        <x:v>1.7</x:v>
      </x:c>
      <x:c r="E24" s="36" t="str">
        <x:v>https://www150.statcan.gc.ca/n1/daily-quotidien/140825/cg-a001-eng.htm</x:v>
      </x:c>
    </x:row>
    <x:row r="25">
      <x:c r="A25" t="str">
        <x:v>2006/2007</x:v>
      </x:c>
      <x:c r="B25" s="38" t="n">
        <x:v>15.4</x:v>
      </x:c>
      <x:c r="C25" s="38" t="n">
        <x:v>11.8</x:v>
      </x:c>
      <x:c r="D25" s="38" t="n">
        <x:v>3.6</x:v>
      </x:c>
      <x:c r="E25" s="36" t="str">
        <x:v>https://www150.statcan.gc.ca/n1/daily-quotidien/140825/cg-a001-eng.htm</x:v>
      </x:c>
    </x:row>
    <x:row r="26">
      <x:c r="A26" t="str">
        <x:v>2007/2008</x:v>
      </x:c>
      <x:c r="B26" s="38" t="n">
        <x:v>14.6</x:v>
      </x:c>
      <x:c r="C26" s="38" t="n">
        <x:v>12.2</x:v>
      </x:c>
      <x:c r="D26" s="38" t="n">
        <x:v>2.4</x:v>
      </x:c>
      <x:c r="E26" s="36" t="str">
        <x:v>https://www150.statcan.gc.ca/n1/daily-quotidien/140825/cg-a001-eng.htm</x:v>
      </x:c>
    </x:row>
    <x:row r="27">
      <x:c r="A27" t="str">
        <x:v>2008/2009</x:v>
      </x:c>
      <x:c r="B27" s="38" t="n">
        <x:v>13.4</x:v>
      </x:c>
      <x:c r="C27" s="38" t="n">
        <x:v>12.4</x:v>
      </x:c>
      <x:c r="D27" s="38" t="n">
        <x:v>1</x:v>
      </x:c>
      <x:c r="E27" s="36" t="str">
        <x:v>https://www150.statcan.gc.ca/n1/daily-quotidien/140825/cg-a001-eng.htm</x:v>
      </x:c>
    </x:row>
    <x:row r="28">
      <x:c r="A28" t="str">
        <x:v>2009/2010</x:v>
      </x:c>
      <x:c r="B28" s="38" t="n">
        <x:v>13.5</x:v>
      </x:c>
      <x:c r="C28" s="38" t="n">
        <x:v>11.7</x:v>
      </x:c>
      <x:c r="D28" s="38" t="n">
        <x:v>1.8</x:v>
      </x:c>
      <x:c r="E28" s="36" t="str">
        <x:v>https://www150.statcan.gc.ca/n1/daily-quotidien/140825/cg-a001-eng.htm</x:v>
      </x:c>
    </x:row>
    <x:row r="29">
      <x:c r="A29" t="str">
        <x:v>2010/2011</x:v>
      </x:c>
      <x:c r="B29" s="38" t="n">
        <x:v>13.3</x:v>
      </x:c>
      <x:c r="C29" s="38" t="n">
        <x:v>11.5</x:v>
      </x:c>
      <x:c r="D29" s="38" t="n">
        <x:v>1.8</x:v>
      </x:c>
      <x:c r="E29" s="36" t="str">
        <x:v>https://www150.statcan.gc.ca/n1/daily-quotidien/140825/cg-a001-eng.htm</x:v>
      </x:c>
    </x:row>
    <x:row r="30">
      <x:c r="A30" t="str">
        <x:v>2011/2012</x:v>
      </x:c>
      <x:c r="B30" s="38" t="n">
        <x:v>13.1</x:v>
      </x:c>
      <x:c r="C30" s="38" t="n">
        <x:v>11.6</x:v>
      </x:c>
      <x:c r="D30" s="38" t="n">
        <x:v>1.5</x:v>
      </x:c>
      <x:c r="E30" s="36" t="str">
        <x:v>https://www150.statcan.gc.ca/n1/daily-quotidien/140825/cg-a001-eng.htm</x:v>
      </x:c>
    </x:row>
  </x:sheetData>
  <x:pageMargins left="0.7" right="0.7" top="0.75" bottom="0.75" header="0.3" footer="0.3"/>
  <x:tableParts count="1">
    <x:tablePart xmlns:r="http://schemas.openxmlformats.org/officeDocument/2006/relationships" r:id="Re1739fe5c59d4f3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</x:cols>
  <x:sheetData>
    <x:row r="1">
      <x:c r="A1" s="15" t="str">
        <x:v>quarter</x:v>
      </x:c>
      <x:c r="B1" s="15" t="str">
        <x:v>loan_type</x:v>
      </x:c>
      <x:c r="C1" s="15" t="str">
        <x:v>segment</x:v>
      </x:c>
      <x:c r="D1" s="15" t="str">
        <x:v>median_rate_pct</x:v>
      </x:c>
      <x:c r="E1" s="15" t="str">
        <x:v>source_url</x:v>
      </x:c>
    </x:row>
    <x:row r="2">
      <x:c r="A2" t="str">
        <x:v>2024:Q4</x:v>
      </x:c>
      <x:c r="B2" t="str">
        <x:v>New term loans</x:v>
      </x:c>
      <x:c r="C2" t="str">
        <x:v>Rural fixed new term loans</x:v>
      </x:c>
      <x:c r="D2" s="38" t="n">
        <x:v>7.62</x:v>
      </x:c>
      <x:c r="E2" s="36" t="str">
        <x:v>https://www.kansascityfed.org/surveys/small-business-lending-survey/small-business-lending-continues-to-increase-q4-2025/</x:v>
      </x:c>
    </x:row>
    <x:row r="3">
      <x:c r="A3" t="str">
        <x:v>2024:Q4</x:v>
      </x:c>
      <x:c r="B3" t="str">
        <x:v>New term loans</x:v>
      </x:c>
      <x:c r="C3" t="str">
        <x:v>Rural variable new term loans</x:v>
      </x:c>
      <x:c r="D3" s="38" t="n">
        <x:v>7.5</x:v>
      </x:c>
      <x:c r="E3" s="36" t="str">
        <x:v>https://www.kansascityfed.org/surveys/small-business-lending-survey/small-business-lending-continues-to-increase-q4-2025/</x:v>
      </x:c>
    </x:row>
    <x:row r="4">
      <x:c r="A4" t="str">
        <x:v>2024:Q4</x:v>
      </x:c>
      <x:c r="B4" t="str">
        <x:v>New term loans</x:v>
      </x:c>
      <x:c r="C4" t="str">
        <x:v>Urban fixed new term loans</x:v>
      </x:c>
      <x:c r="D4" s="38" t="n">
        <x:v>7.36</x:v>
      </x:c>
      <x:c r="E4" s="36" t="str">
        <x:v>https://www.kansascityfed.org/surveys/small-business-lending-survey/small-business-lending-continues-to-increase-q4-2025/</x:v>
      </x:c>
    </x:row>
    <x:row r="5">
      <x:c r="A5" t="str">
        <x:v>2024:Q4</x:v>
      </x:c>
      <x:c r="B5" t="str">
        <x:v>New term loans</x:v>
      </x:c>
      <x:c r="C5" t="str">
        <x:v>Urban variable new term loans</x:v>
      </x:c>
      <x:c r="D5" s="38" t="n">
        <x:v>7.91</x:v>
      </x:c>
      <x:c r="E5" s="36" t="str">
        <x:v>https://www.kansascityfed.org/surveys/small-business-lending-survey/small-business-lending-continues-to-increase-q4-2025/</x:v>
      </x:c>
    </x:row>
    <x:row r="6">
      <x:c r="A6" t="str">
        <x:v>2025:Q1</x:v>
      </x:c>
      <x:c r="B6" t="str">
        <x:v>New term loans</x:v>
      </x:c>
      <x:c r="C6" t="str">
        <x:v>Rural fixed new term loans</x:v>
      </x:c>
      <x:c r="D6" s="38" t="n">
        <x:v>7.84</x:v>
      </x:c>
      <x:c r="E6" s="36" t="str">
        <x:v>https://www.kansascityfed.org/surveys/small-business-lending-survey/small-business-lending-continues-to-increase-q4-2025/</x:v>
      </x:c>
    </x:row>
    <x:row r="7">
      <x:c r="A7" t="str">
        <x:v>2025:Q1</x:v>
      </x:c>
      <x:c r="B7" t="str">
        <x:v>New term loans</x:v>
      </x:c>
      <x:c r="C7" t="str">
        <x:v>Rural variable new term loans</x:v>
      </x:c>
      <x:c r="D7" s="38" t="n">
        <x:v>7.9</x:v>
      </x:c>
      <x:c r="E7" s="36" t="str">
        <x:v>https://www.kansascityfed.org/surveys/small-business-lending-survey/small-business-lending-continues-to-increase-q4-2025/</x:v>
      </x:c>
    </x:row>
    <x:row r="8">
      <x:c r="A8" t="str">
        <x:v>2025:Q1</x:v>
      </x:c>
      <x:c r="B8" t="str">
        <x:v>New term loans</x:v>
      </x:c>
      <x:c r="C8" t="str">
        <x:v>Urban fixed new term loans</x:v>
      </x:c>
      <x:c r="D8" s="38" t="n">
        <x:v>7.45</x:v>
      </x:c>
      <x:c r="E8" s="36" t="str">
        <x:v>https://www.kansascityfed.org/surveys/small-business-lending-survey/small-business-lending-continues-to-increase-q4-2025/</x:v>
      </x:c>
    </x:row>
    <x:row r="9">
      <x:c r="A9" t="str">
        <x:v>2025:Q1</x:v>
      </x:c>
      <x:c r="B9" t="str">
        <x:v>New term loans</x:v>
      </x:c>
      <x:c r="C9" t="str">
        <x:v>Urban variable new term loans</x:v>
      </x:c>
      <x:c r="D9" s="38" t="n">
        <x:v>7.85</x:v>
      </x:c>
      <x:c r="E9" s="36" t="str">
        <x:v>https://www.kansascityfed.org/surveys/small-business-lending-survey/small-business-lending-continues-to-increase-q4-2025/</x:v>
      </x:c>
    </x:row>
    <x:row r="10">
      <x:c r="A10" t="str">
        <x:v>2025:Q2</x:v>
      </x:c>
      <x:c r="B10" t="str">
        <x:v>New term loans</x:v>
      </x:c>
      <x:c r="C10" t="str">
        <x:v>Rural fixed new term loans</x:v>
      </x:c>
      <x:c r="D10" s="38" t="n">
        <x:v>7.64</x:v>
      </x:c>
      <x:c r="E10" s="36" t="str">
        <x:v>https://www.kansascityfed.org/surveys/small-business-lending-survey/small-business-lending-continues-to-increase-q4-2025/</x:v>
      </x:c>
    </x:row>
    <x:row r="11">
      <x:c r="A11" t="str">
        <x:v>2025:Q2</x:v>
      </x:c>
      <x:c r="B11" t="str">
        <x:v>New term loans</x:v>
      </x:c>
      <x:c r="C11" t="str">
        <x:v>Rural variable new term loans</x:v>
      </x:c>
      <x:c r="D11" s="38" t="n">
        <x:v>7.5</x:v>
      </x:c>
      <x:c r="E11" s="36" t="str">
        <x:v>https://www.kansascityfed.org/surveys/small-business-lending-survey/small-business-lending-continues-to-increase-q4-2025/</x:v>
      </x:c>
    </x:row>
    <x:row r="12">
      <x:c r="A12" t="str">
        <x:v>2025:Q2</x:v>
      </x:c>
      <x:c r="B12" t="str">
        <x:v>New term loans</x:v>
      </x:c>
      <x:c r="C12" t="str">
        <x:v>Urban fixed new term loans</x:v>
      </x:c>
      <x:c r="D12" s="38" t="n">
        <x:v>7.21</x:v>
      </x:c>
      <x:c r="E12" s="36" t="str">
        <x:v>https://www.kansascityfed.org/surveys/small-business-lending-survey/small-business-lending-continues-to-increase-q4-2025/</x:v>
      </x:c>
    </x:row>
    <x:row r="13">
      <x:c r="A13" t="str">
        <x:v>2025:Q2</x:v>
      </x:c>
      <x:c r="B13" t="str">
        <x:v>New term loans</x:v>
      </x:c>
      <x:c r="C13" t="str">
        <x:v>Urban variable new term loans</x:v>
      </x:c>
      <x:c r="D13" s="38" t="n">
        <x:v>7.8</x:v>
      </x:c>
      <x:c r="E13" s="36" t="str">
        <x:v>https://www.kansascityfed.org/surveys/small-business-lending-survey/small-business-lending-continues-to-increase-q4-2025/</x:v>
      </x:c>
    </x:row>
    <x:row r="14">
      <x:c r="A14" t="str">
        <x:v>2025:Q3</x:v>
      </x:c>
      <x:c r="B14" t="str">
        <x:v>New term loans</x:v>
      </x:c>
      <x:c r="C14" t="str">
        <x:v>Rural fixed new term loans</x:v>
      </x:c>
      <x:c r="D14" s="38" t="n">
        <x:v>7.43</x:v>
      </x:c>
      <x:c r="E14" s="36" t="str">
        <x:v>https://www.kansascityfed.org/surveys/small-business-lending-survey/small-business-lending-continues-to-increase-q4-2025/</x:v>
      </x:c>
    </x:row>
    <x:row r="15">
      <x:c r="A15" t="str">
        <x:v>2025:Q3</x:v>
      </x:c>
      <x:c r="B15" t="str">
        <x:v>New term loans</x:v>
      </x:c>
      <x:c r="C15" t="str">
        <x:v>Rural variable new term loans</x:v>
      </x:c>
      <x:c r="D15" s="38" t="n">
        <x:v>7.42</x:v>
      </x:c>
      <x:c r="E15" s="36" t="str">
        <x:v>https://www.kansascityfed.org/surveys/small-business-lending-survey/small-business-lending-continues-to-increase-q4-2025/</x:v>
      </x:c>
    </x:row>
    <x:row r="16">
      <x:c r="A16" t="str">
        <x:v>2025:Q3</x:v>
      </x:c>
      <x:c r="B16" t="str">
        <x:v>New term loans</x:v>
      </x:c>
      <x:c r="C16" t="str">
        <x:v>Urban fixed new term loans</x:v>
      </x:c>
      <x:c r="D16" s="38" t="n">
        <x:v>7.08</x:v>
      </x:c>
      <x:c r="E16" s="36" t="str">
        <x:v>https://www.kansascityfed.org/surveys/small-business-lending-survey/small-business-lending-continues-to-increase-q4-2025/</x:v>
      </x:c>
    </x:row>
    <x:row r="17">
      <x:c r="A17" t="str">
        <x:v>2025:Q3</x:v>
      </x:c>
      <x:c r="B17" t="str">
        <x:v>New term loans</x:v>
      </x:c>
      <x:c r="C17" t="str">
        <x:v>Urban variable new term loans</x:v>
      </x:c>
      <x:c r="D17" s="38" t="n">
        <x:v>7.83</x:v>
      </x:c>
      <x:c r="E17" s="36" t="str">
        <x:v>https://www.kansascityfed.org/surveys/small-business-lending-survey/small-business-lending-continues-to-increase-q4-2025/</x:v>
      </x:c>
    </x:row>
    <x:row r="18">
      <x:c r="A18" t="str">
        <x:v>2025:Q4</x:v>
      </x:c>
      <x:c r="B18" t="str">
        <x:v>New term loans</x:v>
      </x:c>
      <x:c r="C18" t="str">
        <x:v>Rural fixed new term loans</x:v>
      </x:c>
      <x:c r="D18" s="38" t="n">
        <x:v>7.14</x:v>
      </x:c>
      <x:c r="E18" s="36" t="str">
        <x:v>https://www.kansascityfed.org/surveys/small-business-lending-survey/small-business-lending-continues-to-increase-q4-2025/</x:v>
      </x:c>
    </x:row>
    <x:row r="19">
      <x:c r="A19" t="str">
        <x:v>2025:Q4</x:v>
      </x:c>
      <x:c r="B19" t="str">
        <x:v>New term loans</x:v>
      </x:c>
      <x:c r="C19" t="str">
        <x:v>Rural variable new term loans</x:v>
      </x:c>
      <x:c r="D19" s="38" t="n">
        <x:v>7.19</x:v>
      </x:c>
      <x:c r="E19" s="36" t="str">
        <x:v>https://www.kansascityfed.org/surveys/small-business-lending-survey/small-business-lending-continues-to-increase-q4-2025/</x:v>
      </x:c>
    </x:row>
    <x:row r="20">
      <x:c r="A20" t="str">
        <x:v>2025:Q4</x:v>
      </x:c>
      <x:c r="B20" t="str">
        <x:v>New term loans</x:v>
      </x:c>
      <x:c r="C20" t="str">
        <x:v>Urban fixed new term loans</x:v>
      </x:c>
      <x:c r="D20" s="38" t="n">
        <x:v>6.75</x:v>
      </x:c>
      <x:c r="E20" s="36" t="str">
        <x:v>https://www.kansascityfed.org/surveys/small-business-lending-survey/small-business-lending-continues-to-increase-q4-2025/</x:v>
      </x:c>
    </x:row>
    <x:row r="21">
      <x:c r="A21" t="str">
        <x:v>2025:Q4</x:v>
      </x:c>
      <x:c r="B21" t="str">
        <x:v>New term loans</x:v>
      </x:c>
      <x:c r="C21" t="str">
        <x:v>Urban variable new term loans</x:v>
      </x:c>
      <x:c r="D21" s="38" t="n">
        <x:v>7</x:v>
      </x:c>
      <x:c r="E21" s="36" t="str">
        <x:v>https://www.kansascityfed.org/surveys/small-business-lending-survey/small-business-lending-continues-to-increase-q4-2025/</x:v>
      </x:c>
    </x:row>
    <x:row r="22">
      <x:c r="A22" t="str">
        <x:v>2024:Q4</x:v>
      </x:c>
      <x:c r="B22" t="str">
        <x:v>New lines of credit</x:v>
      </x:c>
      <x:c r="C22" t="str">
        <x:v>Rural fixed new LOC</x:v>
      </x:c>
      <x:c r="D22" s="38" t="n">
        <x:v>7.05</x:v>
      </x:c>
      <x:c r="E22" s="36" t="str">
        <x:v>https://www.kansascityfed.org/surveys/small-business-lending-survey/small-business-lending-continues-to-increase-q4-2025/</x:v>
      </x:c>
    </x:row>
    <x:row r="23">
      <x:c r="A23" t="str">
        <x:v>2024:Q4</x:v>
      </x:c>
      <x:c r="B23" t="str">
        <x:v>New lines of credit</x:v>
      </x:c>
      <x:c r="C23" t="str">
        <x:v>Rural variable new LOC</x:v>
      </x:c>
      <x:c r="D23" s="38" t="n">
        <x:v>7.61</x:v>
      </x:c>
      <x:c r="E23" s="36" t="str">
        <x:v>https://www.kansascityfed.org/surveys/small-business-lending-survey/small-business-lending-continues-to-increase-q4-2025/</x:v>
      </x:c>
    </x:row>
    <x:row r="24">
      <x:c r="A24" t="str">
        <x:v>2024:Q4</x:v>
      </x:c>
      <x:c r="B24" t="str">
        <x:v>New lines of credit</x:v>
      </x:c>
      <x:c r="C24" t="str">
        <x:v>Urban fixed new LOC</x:v>
      </x:c>
      <x:c r="D24" s="38" t="n">
        <x:v>7.29</x:v>
      </x:c>
      <x:c r="E24" s="36" t="str">
        <x:v>https://www.kansascityfed.org/surveys/small-business-lending-survey/small-business-lending-continues-to-increase-q4-2025/</x:v>
      </x:c>
    </x:row>
    <x:row r="25">
      <x:c r="A25" t="str">
        <x:v>2024:Q4</x:v>
      </x:c>
      <x:c r="B25" t="str">
        <x:v>New lines of credit</x:v>
      </x:c>
      <x:c r="C25" t="str">
        <x:v>Urban variable new LOC</x:v>
      </x:c>
      <x:c r="D25" s="38" t="n">
        <x:v>8</x:v>
      </x:c>
      <x:c r="E25" s="36" t="str">
        <x:v>https://www.kansascityfed.org/surveys/small-business-lending-survey/small-business-lending-continues-to-increase-q4-2025/</x:v>
      </x:c>
    </x:row>
    <x:row r="26">
      <x:c r="A26" t="str">
        <x:v>2025:Q1</x:v>
      </x:c>
      <x:c r="B26" t="str">
        <x:v>New lines of credit</x:v>
      </x:c>
      <x:c r="C26" t="str">
        <x:v>Rural fixed new LOC</x:v>
      </x:c>
      <x:c r="D26" s="38" t="n">
        <x:v>8</x:v>
      </x:c>
      <x:c r="E26" s="36" t="str">
        <x:v>https://www.kansascityfed.org/surveys/small-business-lending-survey/small-business-lending-continues-to-increase-q4-2025/</x:v>
      </x:c>
    </x:row>
    <x:row r="27">
      <x:c r="A27" t="str">
        <x:v>2025:Q1</x:v>
      </x:c>
      <x:c r="B27" t="str">
        <x:v>New lines of credit</x:v>
      </x:c>
      <x:c r="C27" t="str">
        <x:v>Rural variable new LOC</x:v>
      </x:c>
      <x:c r="D27" s="38" t="n">
        <x:v>8.35</x:v>
      </x:c>
      <x:c r="E27" s="36" t="str">
        <x:v>https://www.kansascityfed.org/surveys/small-business-lending-survey/small-business-lending-continues-to-increase-q4-2025/</x:v>
      </x:c>
    </x:row>
    <x:row r="28">
      <x:c r="A28" t="str">
        <x:v>2025:Q1</x:v>
      </x:c>
      <x:c r="B28" t="str">
        <x:v>New lines of credit</x:v>
      </x:c>
      <x:c r="C28" t="str">
        <x:v>Urban fixed new LOC</x:v>
      </x:c>
      <x:c r="D28" s="38" t="n">
        <x:v>7.17</x:v>
      </x:c>
      <x:c r="E28" s="36" t="str">
        <x:v>https://www.kansascityfed.org/surveys/small-business-lending-survey/small-business-lending-continues-to-increase-q4-2025/</x:v>
      </x:c>
    </x:row>
    <x:row r="29">
      <x:c r="A29" t="str">
        <x:v>2025:Q1</x:v>
      </x:c>
      <x:c r="B29" t="str">
        <x:v>New lines of credit</x:v>
      </x:c>
      <x:c r="C29" t="str">
        <x:v>Urban variable new LOC</x:v>
      </x:c>
      <x:c r="D29" s="38" t="n">
        <x:v>8</x:v>
      </x:c>
      <x:c r="E29" s="36" t="str">
        <x:v>https://www.kansascityfed.org/surveys/small-business-lending-survey/small-business-lending-continues-to-increase-q4-2025/</x:v>
      </x:c>
    </x:row>
    <x:row r="30">
      <x:c r="A30" t="str">
        <x:v>2025:Q2</x:v>
      </x:c>
      <x:c r="B30" t="str">
        <x:v>New lines of credit</x:v>
      </x:c>
      <x:c r="C30" t="str">
        <x:v>Rural fixed new LOC</x:v>
      </x:c>
      <x:c r="D30" s="38" t="n">
        <x:v>7.16</x:v>
      </x:c>
      <x:c r="E30" s="36" t="str">
        <x:v>https://www.kansascityfed.org/surveys/small-business-lending-survey/small-business-lending-continues-to-increase-q4-2025/</x:v>
      </x:c>
    </x:row>
    <x:row r="31">
      <x:c r="A31" t="str">
        <x:v>2025:Q2</x:v>
      </x:c>
      <x:c r="B31" t="str">
        <x:v>New lines of credit</x:v>
      </x:c>
      <x:c r="C31" t="str">
        <x:v>Rural variable new LOC</x:v>
      </x:c>
      <x:c r="D31" s="38" t="n">
        <x:v>7.76</x:v>
      </x:c>
      <x:c r="E31" s="36" t="str">
        <x:v>https://www.kansascityfed.org/surveys/small-business-lending-survey/small-business-lending-continues-to-increase-q4-2025/</x:v>
      </x:c>
    </x:row>
    <x:row r="32">
      <x:c r="A32" t="str">
        <x:v>2025:Q2</x:v>
      </x:c>
      <x:c r="B32" t="str">
        <x:v>New lines of credit</x:v>
      </x:c>
      <x:c r="C32" t="str">
        <x:v>Urban fixed new LOC</x:v>
      </x:c>
      <x:c r="D32" s="38" t="n">
        <x:v>7.14</x:v>
      </x:c>
      <x:c r="E32" s="36" t="str">
        <x:v>https://www.kansascityfed.org/surveys/small-business-lending-survey/small-business-lending-continues-to-increase-q4-2025/</x:v>
      </x:c>
    </x:row>
    <x:row r="33">
      <x:c r="A33" t="str">
        <x:v>2025:Q2</x:v>
      </x:c>
      <x:c r="B33" t="str">
        <x:v>New lines of credit</x:v>
      </x:c>
      <x:c r="C33" t="str">
        <x:v>Urban variable new LOC</x:v>
      </x:c>
      <x:c r="D33" s="38" t="n">
        <x:v>8.07</x:v>
      </x:c>
      <x:c r="E33" s="36" t="str">
        <x:v>https://www.kansascityfed.org/surveys/small-business-lending-survey/small-business-lending-continues-to-increase-q4-2025/</x:v>
      </x:c>
    </x:row>
    <x:row r="34">
      <x:c r="A34" t="str">
        <x:v>2025:Q3</x:v>
      </x:c>
      <x:c r="B34" t="str">
        <x:v>New lines of credit</x:v>
      </x:c>
      <x:c r="C34" t="str">
        <x:v>Rural fixed new LOC</x:v>
      </x:c>
      <x:c r="D34" s="38" t="n">
        <x:v>7.38</x:v>
      </x:c>
      <x:c r="E34" s="36" t="str">
        <x:v>https://www.kansascityfed.org/surveys/small-business-lending-survey/small-business-lending-continues-to-increase-q4-2025/</x:v>
      </x:c>
    </x:row>
    <x:row r="35">
      <x:c r="A35" t="str">
        <x:v>2025:Q3</x:v>
      </x:c>
      <x:c r="B35" t="str">
        <x:v>New lines of credit</x:v>
      </x:c>
      <x:c r="C35" t="str">
        <x:v>Rural variable new LOC</x:v>
      </x:c>
      <x:c r="D35" s="38" t="n">
        <x:v>7.63</x:v>
      </x:c>
      <x:c r="E35" s="36" t="str">
        <x:v>https://www.kansascityfed.org/surveys/small-business-lending-survey/small-business-lending-continues-to-increase-q4-2025/</x:v>
      </x:c>
    </x:row>
    <x:row r="36">
      <x:c r="A36" t="str">
        <x:v>2025:Q3</x:v>
      </x:c>
      <x:c r="B36" t="str">
        <x:v>New lines of credit</x:v>
      </x:c>
      <x:c r="C36" t="str">
        <x:v>Urban fixed new LOC</x:v>
      </x:c>
      <x:c r="D36" s="38" t="n">
        <x:v>6.97</x:v>
      </x:c>
      <x:c r="E36" s="36" t="str">
        <x:v>https://www.kansascityfed.org/surveys/small-business-lending-survey/small-business-lending-continues-to-increase-q4-2025/</x:v>
      </x:c>
    </x:row>
    <x:row r="37">
      <x:c r="A37" t="str">
        <x:v>2025:Q3</x:v>
      </x:c>
      <x:c r="B37" t="str">
        <x:v>New lines of credit</x:v>
      </x:c>
      <x:c r="C37" t="str">
        <x:v>Urban variable new LOC</x:v>
      </x:c>
      <x:c r="D37" s="38" t="n">
        <x:v>7.91</x:v>
      </x:c>
      <x:c r="E37" s="36" t="str">
        <x:v>https://www.kansascityfed.org/surveys/small-business-lending-survey/small-business-lending-continues-to-increase-q4-2025/</x:v>
      </x:c>
    </x:row>
    <x:row r="38">
      <x:c r="A38" t="str">
        <x:v>2025:Q4</x:v>
      </x:c>
      <x:c r="B38" t="str">
        <x:v>New lines of credit</x:v>
      </x:c>
      <x:c r="C38" t="str">
        <x:v>Rural fixed new LOC</x:v>
      </x:c>
      <x:c r="D38" s="38" t="n">
        <x:v>7.36</x:v>
      </x:c>
      <x:c r="E38" s="36" t="str">
        <x:v>https://www.kansascityfed.org/surveys/small-business-lending-survey/small-business-lending-continues-to-increase-q4-2025/</x:v>
      </x:c>
    </x:row>
    <x:row r="39">
      <x:c r="A39" t="str">
        <x:v>2025:Q4</x:v>
      </x:c>
      <x:c r="B39" t="str">
        <x:v>New lines of credit</x:v>
      </x:c>
      <x:c r="C39" t="str">
        <x:v>Rural variable new LOC</x:v>
      </x:c>
      <x:c r="D39" s="38" t="n">
        <x:v>7.5</x:v>
      </x:c>
      <x:c r="E39" s="36" t="str">
        <x:v>https://www.kansascityfed.org/surveys/small-business-lending-survey/small-business-lending-continues-to-increase-q4-2025/</x:v>
      </x:c>
    </x:row>
    <x:row r="40">
      <x:c r="A40" t="str">
        <x:v>2025:Q4</x:v>
      </x:c>
      <x:c r="B40" t="str">
        <x:v>New lines of credit</x:v>
      </x:c>
      <x:c r="C40" t="str">
        <x:v>Urban fixed new LOC</x:v>
      </x:c>
      <x:c r="D40" s="38" t="n">
        <x:v>6.65</x:v>
      </x:c>
      <x:c r="E40" s="36" t="str">
        <x:v>https://www.kansascityfed.org/surveys/small-business-lending-survey/small-business-lending-continues-to-increase-q4-2025/</x:v>
      </x:c>
    </x:row>
    <x:row r="41">
      <x:c r="A41" t="str">
        <x:v>2025:Q4</x:v>
      </x:c>
      <x:c r="B41" t="str">
        <x:v>New lines of credit</x:v>
      </x:c>
      <x:c r="C41" t="str">
        <x:v>Urban variable new LOC</x:v>
      </x:c>
      <x:c r="D41" s="38" t="n">
        <x:v>7.09</x:v>
      </x:c>
      <x:c r="E41" s="36" t="str">
        <x:v>https://www.kansascityfed.org/surveys/small-business-lending-survey/small-business-lending-continues-to-increase-q4-2025/</x:v>
      </x:c>
    </x:row>
  </x:sheetData>
  <x:pageMargins left="0.7" right="0.7" top="0.75" bottom="0.75" header="0.3" footer="0.3"/>
  <x:tableParts count="1">
    <x:tablePart xmlns:r="http://schemas.openxmlformats.org/officeDocument/2006/relationships" r:id="R90144296f15b4b0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42" hidden="0" customWidth="1"/>
  </x:cols>
  <x:sheetData>
    <x:row r="1">
      <x:c r="A1" s="15" t="str">
        <x:v>date</x:v>
      </x:c>
      <x:c r="B1" s="15" t="str">
        <x:v>mortgage_30y_rate_pct</x:v>
      </x:c>
      <x:c r="C1" s="15" t="str">
        <x:v>source_series</x:v>
      </x:c>
      <x:c r="D1" s="15" t="str">
        <x:v>source_url</x:v>
      </x:c>
    </x:row>
    <x:row r="2">
      <x:c r="A2" t="str">
        <x:v>2026-03-12</x:v>
      </x:c>
      <x:c r="B2" s="38" t="n">
        <x:v>6.11</x:v>
      </x:c>
      <x:c r="C2" s="36" t="str">
        <x:v>MORTGAGE30US</x:v>
      </x:c>
      <x:c r="D2" s="36" t="str">
        <x:v>https://fred.stlouisfed.org/series/MORTGAGE30US</x:v>
      </x:c>
    </x:row>
    <x:row r="3">
      <x:c r="A3" t="str">
        <x:v>2026-03-19</x:v>
      </x:c>
      <x:c r="B3" s="38" t="n">
        <x:v>6.22</x:v>
      </x:c>
      <x:c r="C3" s="36" t="str">
        <x:v>MORTGAGE30US</x:v>
      </x:c>
      <x:c r="D3" s="36" t="str">
        <x:v>https://fred.stlouisfed.org/series/MORTGAGE30US</x:v>
      </x:c>
    </x:row>
    <x:row r="4">
      <x:c r="A4" t="str">
        <x:v>2026-03-26</x:v>
      </x:c>
      <x:c r="B4" s="38" t="n">
        <x:v>6.38</x:v>
      </x:c>
      <x:c r="C4" s="36" t="str">
        <x:v>MORTGAGE30US</x:v>
      </x:c>
      <x:c r="D4" s="36" t="str">
        <x:v>https://fred.stlouisfed.org/series/MORTGAGE30US</x:v>
      </x:c>
    </x:row>
    <x:row r="5">
      <x:c r="A5" t="str">
        <x:v>2026-04-02</x:v>
      </x:c>
      <x:c r="B5" s="38" t="n">
        <x:v>6.46</x:v>
      </x:c>
      <x:c r="C5" s="36" t="str">
        <x:v>MORTGAGE30US</x:v>
      </x:c>
      <x:c r="D5" s="36" t="str">
        <x:v>https://fred.stlouisfed.org/series/MORTGAGE30US</x:v>
      </x:c>
    </x:row>
    <x:row r="6">
      <x:c r="A6" t="str">
        <x:v>2026-04-09</x:v>
      </x:c>
      <x:c r="B6" s="38" t="n">
        <x:v>6.37</x:v>
      </x:c>
      <x:c r="C6" s="36" t="str">
        <x:v>MORTGAGE30US</x:v>
      </x:c>
      <x:c r="D6" s="36" t="str">
        <x:v>https://fred.stlouisfed.org/series/MORTGAGE30US</x:v>
      </x:c>
    </x:row>
    <x:row r="7">
      <x:c r="A7" t="str">
        <x:v>2026-04-16</x:v>
      </x:c>
      <x:c r="B7" s="38" t="n">
        <x:v>6.3</x:v>
      </x:c>
      <x:c r="C7" s="36" t="str">
        <x:v>MORTGAGE30US</x:v>
      </x:c>
      <x:c r="D7" s="36" t="str">
        <x:v>https://fred.stlouisfed.org/series/MORTGAGE30US</x:v>
      </x:c>
    </x:row>
    <x:row r="8">
      <x:c r="A8" t="str">
        <x:v>2026-04-23</x:v>
      </x:c>
      <x:c r="B8" s="38" t="n">
        <x:v>6.23</x:v>
      </x:c>
      <x:c r="C8" s="36" t="str">
        <x:v>MORTGAGE30US</x:v>
      </x:c>
      <x:c r="D8" s="36" t="str">
        <x:v>https://fred.stlouisfed.org/series/MORTGAGE30US</x:v>
      </x:c>
    </x:row>
  </x:sheetData>
  <x:pageMargins left="0.7" right="0.7" top="0.75" bottom="0.75" header="0.3" footer="0.3"/>
  <x:tableParts count="1">
    <x:tablePart xmlns:r="http://schemas.openxmlformats.org/officeDocument/2006/relationships" r:id="R6b0ab1c770fc477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42" hidden="0" customWidth="1"/>
  </x:cols>
  <x:sheetData>
    <x:row r="1">
      <x:c r="A1" s="15" t="str">
        <x:v>year</x:v>
      </x:c>
      <x:c r="B1" s="15" t="str">
        <x:v>real_gdp_per_capita_2017_cad</x:v>
      </x:c>
      <x:c r="C1" s="15" t="str">
        <x:v>source_table</x:v>
      </x:c>
      <x:c r="D1" s="15" t="str">
        <x:v>source_url</x:v>
      </x:c>
    </x:row>
    <x:row r="2">
      <x:c r="A2" t="n">
        <x:v>2014</x:v>
      </x:c>
      <x:c r="B2" s="36" t="n">
        <x:v>57728</x:v>
      </x:c>
      <x:c r="C2" s="36" t="str">
        <x:v>Statistics Canada Table 36-10-0706-01</x:v>
      </x:c>
      <x:c r="D2" s="36" t="str">
        <x:v>https://www.statcan.gc.ca/hub-carrefour/quality-life-qualite-vie/prosperity-prosperite/gdp-pib-eng.htm</x:v>
      </x:c>
    </x:row>
    <x:row r="3">
      <x:c r="A3" t="n">
        <x:v>2015</x:v>
      </x:c>
      <x:c r="B3" s="36" t="n">
        <x:v>57637</x:v>
      </x:c>
      <x:c r="C3" s="36" t="str">
        <x:v>Statistics Canada Table 36-10-0706-01</x:v>
      </x:c>
      <x:c r="D3" s="36" t="str">
        <x:v>https://www.statcan.gc.ca/hub-carrefour/quality-life-qualite-vie/prosperity-prosperite/gdp-pib-eng.htm</x:v>
      </x:c>
    </x:row>
    <x:row r="4">
      <x:c r="A4" t="n">
        <x:v>2016</x:v>
      </x:c>
      <x:c r="B4" s="36" t="n">
        <x:v>57627</x:v>
      </x:c>
      <x:c r="C4" s="36" t="str">
        <x:v>Statistics Canada Table 36-10-0706-01</x:v>
      </x:c>
      <x:c r="D4" s="36" t="str">
        <x:v>https://www.statcan.gc.ca/hub-carrefour/quality-life-qualite-vie/prosperity-prosperite/gdp-pib-eng.htm</x:v>
      </x:c>
    </x:row>
    <x:row r="5">
      <x:c r="A5" t="n">
        <x:v>2017</x:v>
      </x:c>
      <x:c r="B5" s="36" t="n">
        <x:v>58657</x:v>
      </x:c>
      <x:c r="C5" s="36" t="str">
        <x:v>Statistics Canada Table 36-10-0706-01</x:v>
      </x:c>
      <x:c r="D5" s="36" t="str">
        <x:v>https://www.statcan.gc.ca/hub-carrefour/quality-life-qualite-vie/prosperity-prosperite/gdp-pib-eng.htm</x:v>
      </x:c>
    </x:row>
    <x:row r="6">
      <x:c r="A6" t="n">
        <x:v>2018</x:v>
      </x:c>
      <x:c r="B6" s="36" t="n">
        <x:v>59427</x:v>
      </x:c>
      <x:c r="C6" s="36" t="str">
        <x:v>Statistics Canada Table 36-10-0706-01</x:v>
      </x:c>
      <x:c r="D6" s="36" t="str">
        <x:v>https://www.statcan.gc.ca/hub-carrefour/quality-life-qualite-vie/prosperity-prosperite/gdp-pib-eng.htm</x:v>
      </x:c>
    </x:row>
    <x:row r="7">
      <x:c r="A7" t="n">
        <x:v>2019</x:v>
      </x:c>
      <x:c r="B7" s="36" t="n">
        <x:v>59681</x:v>
      </x:c>
      <x:c r="C7" s="36" t="str">
        <x:v>Statistics Canada Table 36-10-0706-01</x:v>
      </x:c>
      <x:c r="D7" s="36" t="str">
        <x:v>https://www.statcan.gc.ca/hub-carrefour/quality-life-qualite-vie/prosperity-prosperite/gdp-pib-eng.htm</x:v>
      </x:c>
    </x:row>
    <x:row r="8">
      <x:c r="A8" t="n">
        <x:v>2020</x:v>
      </x:c>
      <x:c r="B8" s="36" t="n">
        <x:v>56015</x:v>
      </x:c>
      <x:c r="C8" s="36" t="str">
        <x:v>Statistics Canada Table 36-10-0706-01</x:v>
      </x:c>
      <x:c r="D8" s="36" t="str">
        <x:v>https://www.statcan.gc.ca/hub-carrefour/quality-life-qualite-vie/prosperity-prosperite/gdp-pib-eng.htm</x:v>
      </x:c>
    </x:row>
    <x:row r="9">
      <x:c r="A9" t="n">
        <x:v>2021</x:v>
      </x:c>
      <x:c r="B9" s="36" t="n">
        <x:v>58998</x:v>
      </x:c>
      <x:c r="C9" s="36" t="str">
        <x:v>Statistics Canada Table 36-10-0706-01</x:v>
      </x:c>
      <x:c r="D9" s="36" t="str">
        <x:v>https://www.statcan.gc.ca/hub-carrefour/quality-life-qualite-vie/prosperity-prosperite/gdp-pib-eng.htm</x:v>
      </x:c>
    </x:row>
    <x:row r="10">
      <x:c r="A10" t="n">
        <x:v>2022</x:v>
      </x:c>
      <x:c r="B10" s="36" t="n">
        <x:v>60735</x:v>
      </x:c>
      <x:c r="C10" s="36" t="str">
        <x:v>Statistics Canada Table 36-10-0706-01</x:v>
      </x:c>
      <x:c r="D10" s="36" t="str">
        <x:v>https://www.statcan.gc.ca/hub-carrefour/quality-life-qualite-vie/prosperity-prosperite/gdp-pib-eng.htm</x:v>
      </x:c>
    </x:row>
    <x:row r="11">
      <x:c r="A11" t="n">
        <x:v>2023</x:v>
      </x:c>
      <x:c r="B11" s="36" t="n">
        <x:v>60277</x:v>
      </x:c>
      <x:c r="C11" s="36" t="str">
        <x:v>Statistics Canada Table 36-10-0706-01</x:v>
      </x:c>
      <x:c r="D11" s="36" t="str">
        <x:v>https://www.statcan.gc.ca/hub-carrefour/quality-life-qualite-vie/prosperity-prosperite/gdp-pib-eng.htm</x:v>
      </x:c>
    </x:row>
    <x:row r="12">
      <x:c r="A12" t="n">
        <x:v>2024</x:v>
      </x:c>
      <x:c r="B12" s="36" t="n">
        <x:v>59738</x:v>
      </x:c>
      <x:c r="C12" s="36" t="str">
        <x:v>Statistics Canada Table 36-10-0706-01</x:v>
      </x:c>
      <x:c r="D12" s="36" t="str">
        <x:v>https://www.statcan.gc.ca/hub-carrefour/quality-life-qualite-vie/prosperity-prosperite/gdp-pib-eng.htm</x:v>
      </x:c>
    </x:row>
  </x:sheetData>
  <x:pageMargins left="0.7" right="0.7" top="0.75" bottom="0.75" header="0.3" footer="0.3"/>
  <x:tableParts count="1">
    <x:tablePart xmlns:r="http://schemas.openxmlformats.org/officeDocument/2006/relationships" r:id="Re8cc75cc4488458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2" hidden="0" customWidth="1"/>
    <x:col min="4" max="4" width="42" hidden="0" customWidth="1"/>
  </x:cols>
  <x:sheetData>
    <x:row r="1">
      <x:c r="A1" s="15" t="str">
        <x:v>year</x:v>
      </x:c>
      <x:c r="B1" s="15" t="str">
        <x:v>residential_fixed_investment_share_gdp_pct</x:v>
      </x:c>
      <x:c r="C1" s="15" t="str">
        <x:v>source_series</x:v>
      </x:c>
      <x:c r="D1" s="15" t="str">
        <x:v>source_url</x:v>
      </x:c>
    </x:row>
    <x:row r="2">
      <x:c r="A2" t="n">
        <x:v>2015</x:v>
      </x:c>
      <x:c r="B2" s="42" t="n">
        <x:v>3.5</x:v>
      </x:c>
      <x:c r="C2" s="36" t="str">
        <x:v>A011RE1A156NBEA</x:v>
      </x:c>
      <x:c r="D2" s="36" t="str">
        <x:v>https://fred.stlouisfed.org/series/A011RE1A156NBEA</x:v>
      </x:c>
    </x:row>
    <x:row r="3">
      <x:c r="A3" t="n">
        <x:v>2016</x:v>
      </x:c>
      <x:c r="B3" s="42" t="n">
        <x:v>3.8</x:v>
      </x:c>
      <x:c r="C3" s="36" t="str">
        <x:v>A011RE1A156NBEA</x:v>
      </x:c>
      <x:c r="D3" s="36" t="str">
        <x:v>https://fred.stlouisfed.org/series/A011RE1A156NBEA</x:v>
      </x:c>
    </x:row>
    <x:row r="4">
      <x:c r="A4" t="n">
        <x:v>2017</x:v>
      </x:c>
      <x:c r="B4" s="42" t="n">
        <x:v>3.9</x:v>
      </x:c>
      <x:c r="C4" s="36" t="str">
        <x:v>A011RE1A156NBEA</x:v>
      </x:c>
      <x:c r="D4" s="36" t="str">
        <x:v>https://fred.stlouisfed.org/series/A011RE1A156NBEA</x:v>
      </x:c>
    </x:row>
    <x:row r="5">
      <x:c r="A5" t="n">
        <x:v>2018</x:v>
      </x:c>
      <x:c r="B5" s="42" t="n">
        <x:v>3.9</x:v>
      </x:c>
      <x:c r="C5" s="36" t="str">
        <x:v>A011RE1A156NBEA</x:v>
      </x:c>
      <x:c r="D5" s="36" t="str">
        <x:v>https://fred.stlouisfed.org/series/A011RE1A156NBEA</x:v>
      </x:c>
    </x:row>
    <x:row r="6">
      <x:c r="A6" t="n">
        <x:v>2019</x:v>
      </x:c>
      <x:c r="B6" s="42" t="n">
        <x:v>3.8</x:v>
      </x:c>
      <x:c r="C6" s="36" t="str">
        <x:v>A011RE1A156NBEA</x:v>
      </x:c>
      <x:c r="D6" s="36" t="str">
        <x:v>https://fred.stlouisfed.org/series/A011RE1A156NBEA</x:v>
      </x:c>
    </x:row>
    <x:row r="7">
      <x:c r="A7" t="n">
        <x:v>2020</x:v>
      </x:c>
      <x:c r="B7" s="42" t="n">
        <x:v>4.3</x:v>
      </x:c>
      <x:c r="C7" s="36" t="str">
        <x:v>A011RE1A156NBEA</x:v>
      </x:c>
      <x:c r="D7" s="36" t="str">
        <x:v>https://fred.stlouisfed.org/series/A011RE1A156NBEA</x:v>
      </x:c>
    </x:row>
    <x:row r="8">
      <x:c r="A8" t="n">
        <x:v>2021</x:v>
      </x:c>
      <x:c r="B8" s="42" t="n">
        <x:v>4.8</x:v>
      </x:c>
      <x:c r="C8" s="36" t="str">
        <x:v>A011RE1A156NBEA</x:v>
      </x:c>
      <x:c r="D8" s="36" t="str">
        <x:v>https://fred.stlouisfed.org/series/A011RE1A156NBEA</x:v>
      </x:c>
    </x:row>
    <x:row r="9">
      <x:c r="A9" t="n">
        <x:v>2022</x:v>
      </x:c>
      <x:c r="B9" s="42" t="n">
        <x:v>4.5</x:v>
      </x:c>
      <x:c r="C9" s="36" t="str">
        <x:v>A011RE1A156NBEA</x:v>
      </x:c>
      <x:c r="D9" s="36" t="str">
        <x:v>https://fred.stlouisfed.org/series/A011RE1A156NBEA</x:v>
      </x:c>
    </x:row>
    <x:row r="10">
      <x:c r="A10" t="n">
        <x:v>2023</x:v>
      </x:c>
      <x:c r="B10" s="42" t="n">
        <x:v>4</x:v>
      </x:c>
      <x:c r="C10" s="36" t="str">
        <x:v>A011RE1A156NBEA</x:v>
      </x:c>
      <x:c r="D10" s="36" t="str">
        <x:v>https://fred.stlouisfed.org/series/A011RE1A156NBEA</x:v>
      </x:c>
    </x:row>
    <x:row r="11">
      <x:c r="A11" t="n">
        <x:v>2024</x:v>
      </x:c>
      <x:c r="B11" s="42" t="n">
        <x:v>4</x:v>
      </x:c>
      <x:c r="C11" s="36" t="str">
        <x:v>A011RE1A156NBEA</x:v>
      </x:c>
      <x:c r="D11" s="36" t="str">
        <x:v>https://fred.stlouisfed.org/series/A011RE1A156NBEA</x:v>
      </x:c>
    </x:row>
    <x:row r="12">
      <x:c r="A12" t="n">
        <x:v>2025</x:v>
      </x:c>
      <x:c r="B12" s="42" t="n">
        <x:v>3.9</x:v>
      </x:c>
      <x:c r="C12" s="36" t="str">
        <x:v>A011RE1A156NBEA</x:v>
      </x:c>
      <x:c r="D12" s="36" t="str">
        <x:v>https://fred.stlouisfed.org/series/A011RE1A156NBEA</x:v>
      </x:c>
    </x:row>
  </x:sheetData>
  <x:pageMargins left="0.7" right="0.7" top="0.75" bottom="0.75" header="0.3" footer="0.3"/>
  <x:tableParts count="1">
    <x:tablePart xmlns:r="http://schemas.openxmlformats.org/officeDocument/2006/relationships" r:id="Re291b1d81fb0444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</x:cols>
  <x:sheetData>
    <x:row r="1">
      <x:c r="A1" s="15" t="str">
        <x:v>year</x:v>
      </x:c>
      <x:c r="B1" s="15" t="str">
        <x:v>metric</x:v>
      </x:c>
      <x:c r="C1" s="15" t="str">
        <x:v>value</x:v>
      </x:c>
      <x:c r="D1" s="15" t="str">
        <x:v>unit</x:v>
      </x:c>
      <x:c r="E1" s="15" t="str">
        <x:v>source_url</x:v>
      </x:c>
    </x:row>
    <x:row r="2">
      <x:c r="A2" t="n">
        <x:v>2024</x:v>
      </x:c>
      <x:c r="B2" t="str">
        <x:v>Nominal investment in residential housing</x:v>
      </x:c>
      <x:c r="C2" s="40" t="n">
        <x:v>237.7</x:v>
      </x:c>
      <x:c r="D2" t="str">
        <x:v>CAD billions</x:v>
      </x:c>
      <x:c r="E2" s="36" t="str">
        <x:v>https://www150.statcan.gc.ca/n1/daily-quotidien/250624/dq250624d-eng.htm</x:v>
      </x:c>
    </x:row>
    <x:row r="3">
      <x:c r="A3" t="n">
        <x:v>2024</x:v>
      </x:c>
      <x:c r="B3" t="str">
        <x:v>GDP associated with residential housing productive activity</x:v>
      </x:c>
      <x:c r="C3" s="40" t="n">
        <x:v>143.4</x:v>
      </x:c>
      <x:c r="D3" t="str">
        <x:v>CAD billions</x:v>
      </x:c>
      <x:c r="E3" s="36" t="str">
        <x:v>https://www150.statcan.gc.ca/n1/daily-quotidien/250624/dq250624d-eng.htm</x:v>
      </x:c>
    </x:row>
    <x:row r="4">
      <x:c r="A4" t="n">
        <x:v>2024</x:v>
      </x:c>
      <x:c r="B4" t="str">
        <x:v>Jobs associated with residential housing productive activity</x:v>
      </x:c>
      <x:c r="C4" s="40" t="n">
        <x:v>1.2</x:v>
      </x:c>
      <x:c r="D4" t="str">
        <x:v>million jobs</x:v>
      </x:c>
      <x:c r="E4" s="36" t="str">
        <x:v>https://www150.statcan.gc.ca/n1/daily-quotidien/250624/dq250624d-eng.htm</x:v>
      </x:c>
    </x:row>
    <x:row r="5">
      <x:c r="A5" t="n">
        <x:v>2024</x:v>
      </x:c>
      <x:c r="B5" t="str">
        <x:v>Net stock of housing assets</x:v>
      </x:c>
      <x:c r="C5" s="40" t="n">
        <x:v>4.2</x:v>
      </x:c>
      <x:c r="D5" t="str">
        <x:v>CAD trillions</x:v>
      </x:c>
      <x:c r="E5" s="36" t="str">
        <x:v>https://www150.statcan.gc.ca/n1/daily-quotidien/250624/dq250624d-eng.htm</x:v>
      </x:c>
    </x:row>
    <x:row r="6">
      <x:c r="A6" t="n">
        <x:v>2024</x:v>
      </x:c>
      <x:c r="B6" t="str">
        <x:v>Housing assets share of national wealth</x:v>
      </x:c>
      <x:c r="C6" s="40" t="n">
        <x:v>25</x:v>
      </x:c>
      <x:c r="D6" t="str">
        <x:v>percent</x:v>
      </x:c>
      <x:c r="E6" s="36" t="str">
        <x:v>https://www150.statcan.gc.ca/n1/daily-quotidien/250624/dq250624d-eng.htm</x:v>
      </x:c>
    </x:row>
  </x:sheetData>
  <x:pageMargins left="0.7" right="0.7" top="0.75" bottom="0.75" header="0.3" footer="0.3"/>
  <x:tableParts count="1">
    <x:tablePart xmlns:r="http://schemas.openxmlformats.org/officeDocument/2006/relationships" r:id="R3227da6b3ec240c6"/>
  </x:tableParts>
</x:worksheet>
</file>